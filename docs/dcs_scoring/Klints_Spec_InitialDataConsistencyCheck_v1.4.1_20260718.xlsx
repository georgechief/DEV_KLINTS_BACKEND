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ohan/Desktop/Klints/klints_backend/docs/dcs_scoring/"/>
    </mc:Choice>
  </mc:AlternateContent>
  <xr:revisionPtr revIDLastSave="0" documentId="13_ncr:1_{4E00A027-708D-464F-9372-68360A9A5B03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01 Overview" sheetId="1" r:id="rId1"/>
    <sheet name="02 Check Catalogue" sheetId="2" r:id="rId2"/>
    <sheet name="03 Root Cause Taxonomy" sheetId="3" r:id="rId3"/>
    <sheet name="04 Coverage Matrix" sheetId="4" r:id="rId4"/>
    <sheet name="05 Initial Connect Runbook" sheetId="5" r:id="rId5"/>
    <sheet name="06 Field Mapping Reference" sheetId="6" r:id="rId6"/>
    <sheet name="07 Scoring Model" sheetId="7" r:id="rId7"/>
    <sheet name="08 Score Assembly" sheetId="8" r:id="rId8"/>
    <sheet name="09 MVP1 Check Scope" sheetId="9" r:id="rId9"/>
    <sheet name="10 Lumera Scoring Example" sheetId="10" r:id="rId10"/>
    <sheet name="11 Pilot Supplemental Gat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0" l="1"/>
  <c r="K47" i="10" s="1"/>
  <c r="H47" i="10"/>
  <c r="F47" i="10"/>
  <c r="I47" i="10" s="1"/>
  <c r="J46" i="10"/>
  <c r="K46" i="10" s="1"/>
  <c r="H46" i="10"/>
  <c r="F46" i="10"/>
  <c r="I46" i="10" s="1"/>
  <c r="J45" i="10"/>
  <c r="K45" i="10" s="1"/>
  <c r="H45" i="10"/>
  <c r="F45" i="10"/>
  <c r="I45" i="10" s="1"/>
  <c r="P11" i="10" s="1"/>
  <c r="J44" i="10"/>
  <c r="K44" i="10" s="1"/>
  <c r="I44" i="10"/>
  <c r="H44" i="10"/>
  <c r="F44" i="10"/>
  <c r="J43" i="10"/>
  <c r="K43" i="10" s="1"/>
  <c r="I43" i="10"/>
  <c r="H43" i="10"/>
  <c r="F43" i="10"/>
  <c r="J42" i="10"/>
  <c r="K42" i="10" s="1"/>
  <c r="I42" i="10"/>
  <c r="H42" i="10"/>
  <c r="F42" i="10"/>
  <c r="J41" i="10"/>
  <c r="K41" i="10" s="1"/>
  <c r="I41" i="10"/>
  <c r="H41" i="10"/>
  <c r="F41" i="10"/>
  <c r="J40" i="10"/>
  <c r="K40" i="10" s="1"/>
  <c r="I40" i="10"/>
  <c r="H40" i="10"/>
  <c r="F40" i="10"/>
  <c r="J39" i="10"/>
  <c r="H39" i="10"/>
  <c r="K39" i="10" s="1"/>
  <c r="F39" i="10"/>
  <c r="I39" i="10" s="1"/>
  <c r="J38" i="10"/>
  <c r="H38" i="10"/>
  <c r="K38" i="10" s="1"/>
  <c r="F38" i="10"/>
  <c r="I38" i="10" s="1"/>
  <c r="J37" i="10"/>
  <c r="K37" i="10" s="1"/>
  <c r="H37" i="10"/>
  <c r="F37" i="10"/>
  <c r="I37" i="10" s="1"/>
  <c r="K36" i="10"/>
  <c r="J36" i="10"/>
  <c r="H36" i="10"/>
  <c r="F36" i="10"/>
  <c r="I36" i="10" s="1"/>
  <c r="P6" i="10" s="1"/>
  <c r="K35" i="10"/>
  <c r="J35" i="10"/>
  <c r="I35" i="10"/>
  <c r="H35" i="10"/>
  <c r="F35" i="10"/>
  <c r="J34" i="10"/>
  <c r="K34" i="10" s="1"/>
  <c r="I34" i="10"/>
  <c r="H34" i="10"/>
  <c r="F34" i="10"/>
  <c r="J33" i="10"/>
  <c r="K33" i="10" s="1"/>
  <c r="H33" i="10"/>
  <c r="F33" i="10"/>
  <c r="I33" i="10" s="1"/>
  <c r="P12" i="10" s="1"/>
  <c r="J32" i="10"/>
  <c r="K32" i="10" s="1"/>
  <c r="I32" i="10"/>
  <c r="H32" i="10"/>
  <c r="F32" i="10"/>
  <c r="J31" i="10"/>
  <c r="K31" i="10" s="1"/>
  <c r="I31" i="10"/>
  <c r="H31" i="10"/>
  <c r="F31" i="10"/>
  <c r="J30" i="10"/>
  <c r="I30" i="10"/>
  <c r="H30" i="10"/>
  <c r="K30" i="10" s="1"/>
  <c r="F30" i="10"/>
  <c r="J29" i="10"/>
  <c r="K29" i="10" s="1"/>
  <c r="I29" i="10"/>
  <c r="H29" i="10"/>
  <c r="F29" i="10"/>
  <c r="J28" i="10"/>
  <c r="H28" i="10"/>
  <c r="K28" i="10" s="1"/>
  <c r="F28" i="10"/>
  <c r="I28" i="10" s="1"/>
  <c r="P10" i="10" s="1"/>
  <c r="J27" i="10"/>
  <c r="H27" i="10"/>
  <c r="K27" i="10" s="1"/>
  <c r="F27" i="10"/>
  <c r="I27" i="10" s="1"/>
  <c r="J26" i="10"/>
  <c r="K26" i="10" s="1"/>
  <c r="H26" i="10"/>
  <c r="F26" i="10"/>
  <c r="I26" i="10" s="1"/>
  <c r="K25" i="10"/>
  <c r="J25" i="10"/>
  <c r="H25" i="10"/>
  <c r="F25" i="10"/>
  <c r="I25" i="10" s="1"/>
  <c r="P8" i="10" s="1"/>
  <c r="K24" i="10"/>
  <c r="J24" i="10"/>
  <c r="I24" i="10"/>
  <c r="H24" i="10"/>
  <c r="F24" i="10"/>
  <c r="J23" i="10"/>
  <c r="K23" i="10" s="1"/>
  <c r="I23" i="10"/>
  <c r="H23" i="10"/>
  <c r="F23" i="10"/>
  <c r="J22" i="10"/>
  <c r="K22" i="10" s="1"/>
  <c r="I22" i="10"/>
  <c r="H22" i="10"/>
  <c r="F22" i="10"/>
  <c r="J21" i="10"/>
  <c r="K21" i="10" s="1"/>
  <c r="I21" i="10"/>
  <c r="H21" i="10"/>
  <c r="F21" i="10"/>
  <c r="J20" i="10"/>
  <c r="K20" i="10" s="1"/>
  <c r="I20" i="10"/>
  <c r="H20" i="10"/>
  <c r="F20" i="10"/>
  <c r="J19" i="10"/>
  <c r="I19" i="10"/>
  <c r="H19" i="10"/>
  <c r="K19" i="10" s="1"/>
  <c r="F19" i="10"/>
  <c r="J18" i="10"/>
  <c r="K18" i="10" s="1"/>
  <c r="I18" i="10"/>
  <c r="H18" i="10"/>
  <c r="F18" i="10"/>
  <c r="J17" i="10"/>
  <c r="K17" i="10" s="1"/>
  <c r="I17" i="10"/>
  <c r="H17" i="10"/>
  <c r="F17" i="10"/>
  <c r="M16" i="10"/>
  <c r="J16" i="10"/>
  <c r="K16" i="10" s="1"/>
  <c r="I16" i="10"/>
  <c r="H16" i="10"/>
  <c r="F16" i="10"/>
  <c r="J15" i="10"/>
  <c r="K15" i="10" s="1"/>
  <c r="I15" i="10"/>
  <c r="H15" i="10"/>
  <c r="F15" i="10"/>
  <c r="K14" i="10"/>
  <c r="J14" i="10"/>
  <c r="I14" i="10"/>
  <c r="H14" i="10"/>
  <c r="F14" i="10"/>
  <c r="J13" i="10"/>
  <c r="I13" i="10"/>
  <c r="H13" i="10"/>
  <c r="K13" i="10" s="1"/>
  <c r="F13" i="10"/>
  <c r="O12" i="10"/>
  <c r="J12" i="10"/>
  <c r="K12" i="10" s="1"/>
  <c r="I12" i="10"/>
  <c r="H12" i="10"/>
  <c r="F12" i="10"/>
  <c r="O11" i="10"/>
  <c r="K11" i="10"/>
  <c r="J11" i="10"/>
  <c r="I11" i="10"/>
  <c r="H11" i="10"/>
  <c r="F11" i="10"/>
  <c r="O10" i="10"/>
  <c r="R10" i="10" s="1"/>
  <c r="J10" i="10"/>
  <c r="K10" i="10" s="1"/>
  <c r="I10" i="10"/>
  <c r="H10" i="10"/>
  <c r="F10" i="10"/>
  <c r="O9" i="10"/>
  <c r="J9" i="10"/>
  <c r="K9" i="10" s="1"/>
  <c r="I9" i="10"/>
  <c r="H9" i="10"/>
  <c r="F9" i="10"/>
  <c r="O8" i="10"/>
  <c r="J8" i="10"/>
  <c r="K8" i="10" s="1"/>
  <c r="I8" i="10"/>
  <c r="H8" i="10"/>
  <c r="F8" i="10"/>
  <c r="O7" i="10"/>
  <c r="J7" i="10"/>
  <c r="K7" i="10" s="1"/>
  <c r="I7" i="10"/>
  <c r="H7" i="10"/>
  <c r="F7" i="10"/>
  <c r="O6" i="10"/>
  <c r="J6" i="10"/>
  <c r="K6" i="10" s="1"/>
  <c r="I6" i="10"/>
  <c r="H6" i="10"/>
  <c r="F6" i="10"/>
  <c r="S11" i="10" l="1"/>
  <c r="S7" i="10"/>
  <c r="P7" i="10"/>
  <c r="S12" i="10"/>
  <c r="Q8" i="10"/>
  <c r="P9" i="10"/>
  <c r="Q9" i="10" s="1"/>
  <c r="S6" i="10"/>
  <c r="Q7" i="10"/>
  <c r="R8" i="10"/>
  <c r="S9" i="10"/>
  <c r="Q6" i="10"/>
  <c r="R7" i="10"/>
  <c r="S8" i="10"/>
  <c r="R9" i="10"/>
  <c r="S10" i="10"/>
  <c r="R6" i="10"/>
  <c r="Q12" i="10"/>
  <c r="Q11" i="10"/>
  <c r="R12" i="10"/>
  <c r="Q10" i="10"/>
  <c r="R11" i="10"/>
  <c r="M17" i="10" l="1"/>
  <c r="M18" i="10" s="1"/>
</calcChain>
</file>

<file path=xl/sharedStrings.xml><?xml version="1.0" encoding="utf-8"?>
<sst xmlns="http://schemas.openxmlformats.org/spreadsheetml/2006/main" count="3954" uniqueCount="1856">
  <si>
    <t>Klints · Initial Data Consistency Check — Check Catalogue</t>
  </si>
  <si>
    <t>Engineering specification for the initial (onboarding) DCS sweep · Manago.ai + Shopify + ERP</t>
  </si>
  <si>
    <t>One row in the Check Catalogue = one implementable check. This workbook is the contract for what the initial data consistency check inspects, why, with what impact, and how each finding is fixed.</t>
  </si>
  <si>
    <t>Klints · Internal / Partner (Rohan — Astrapse Labs) · Prepared by: George Sefler · Date: 18 July 2026 · Version: v1.4.1 · Incorporates Fable 5 verification fixes</t>
  </si>
  <si>
    <t>How to read this workbook</t>
  </si>
  <si>
    <t>Scope</t>
  </si>
  <si>
    <t>Stack in scope: Manago.ai (marketing platform) + Shopify (commerce, dev/demo baseline) + ERP (generic layer, CSV/API-agnostic). Check logic is written against the Klints canonical data model; Shopify and ERP columns are mapping surfaces. Magento 2 / WooCommerce arrive later as additional mapping columns — the check logic does not change. Platform neutrality is structural.</t>
  </si>
  <si>
    <t>Method</t>
  </si>
  <si>
    <t>The catalogue was built as a completeness matrix: every canonical entity crossed with every check type (schema/format, presence, freshness, uniqueness, referential integrity, cross-system reconciliation, consent compliance, statistical anomaly, cross-field consistency, connectivity). Sheet '04 Coverage Matrix' shows the full grid; empty intersections are explicitly marked n/a with a reason, so nothing is missing by accident — only by decision.</t>
  </si>
  <si>
    <t>Foundation Gate (dimension 00)</t>
  </si>
  <si>
    <t>FD checks are pre-score connectivity gates. They are NOT weighted into the DCS. A failed gate blocks or scopes the sweep — Klints never emits a score from an incomplete sweep; it emits a 'sweep incomplete' state. This protects the worst failure mode: a score that looks complete but is not.</t>
  </si>
  <si>
    <t>Seven DCS dimensions</t>
  </si>
  <si>
    <t>01 Customer Identity · 02 Lifecycle Event · 03 Product &amp; Transaction · 04 Segment &amp; Property · 05 Channel &amp; Consent · 06 Measurement · 07 Business Reality. These are the reporting spine of the DCS. Check counts per dimension are not capped by demo figures — the demo's '28 deterministic checks' was a marketing snapshot, not an engineering ceiling.</t>
  </si>
  <si>
    <t>Severity</t>
  </si>
  <si>
    <t>Critical = compliance exposure or a broken revenue-critical pipe. High = materially wrong workflow decisions. Medium = degraded precision or trust. Low = hygiene. Severity is issue-level; DCS Weight expresses how strongly the check pulls its sub-score.</t>
  </si>
  <si>
    <t>Cadence</t>
  </si>
  <si>
    <t>Initial = onboarding sweep only. Initial + Recurring = onboarding sweep, then scheduled re-check (drift guard). Recurring = pure drift monitor. Expect materially more findings at initial connect than in steady state — the initial sweep is the archaeology pass.</t>
  </si>
  <si>
    <t>Fix types</t>
  </si>
  <si>
    <t>Automated writeback (approved) = Klints executes via API after human approval, klints_ namespaced, audit-logged, rollback-noted. Integration build = the pipe itself must be built/repaired (integrator work). Configuration = mapping/config change in Klints or platform. Manual (guided) = Klints produces the finding and a guided task; a human owns execution. Division of labour is inviolable: Klints governs and orchestrates; platforms and agents execute.</t>
  </si>
  <si>
    <t>MVP1 Fix Blueprint column</t>
  </si>
  <si>
    <t>Y = this issue class maps to one of the templated MVP1 Data Fix Blueprints (spec allows 8–12 issue types; several checks share one template — e.g. LE-01/05/14 share the event-backfill template). N = detect-only in MVP1: the finding is surfaced with a guided manual fix. Build Priority: P0 = initial sweep must-have · P1 = fast follow · P2 = later hardening.</t>
  </si>
  <si>
    <t>Manago MCP note</t>
  </si>
  <si>
    <t>The Manago MCP server (mcp.manago.ai/mcp, OAuth) exposes read/analytics, segment and campaign surfaces. Klints may use it as a secondary cross-verification path for aggregates (FD-08), but deterministic checks always run on the documented v2/v3 API — MCP offers no field-level guarantees.</t>
  </si>
  <si>
    <t>Catalogue summary (live counts)</t>
  </si>
  <si>
    <t>Dimension</t>
  </si>
  <si>
    <t>Checks</t>
  </si>
  <si>
    <t>Critical</t>
  </si>
  <si>
    <t>High severity</t>
  </si>
  <si>
    <t>MVP1 Fix Blueprint = Y</t>
  </si>
  <si>
    <t>P0 build priority</t>
  </si>
  <si>
    <t>00 Foundation Gate</t>
  </si>
  <si>
    <t>01 Customer Identity</t>
  </si>
  <si>
    <t>02 Lifecycle Event</t>
  </si>
  <si>
    <t>03 Product &amp; Transaction</t>
  </si>
  <si>
    <t>04 Segment &amp; Property</t>
  </si>
  <si>
    <t>05 Channel &amp; Consent</t>
  </si>
  <si>
    <t>06 Measurement</t>
  </si>
  <si>
    <t>07 Business Reality</t>
  </si>
  <si>
    <t>Total</t>
  </si>
  <si>
    <t>MVP1 Fix Blueprint templates (build scope)</t>
  </si>
  <si>
    <t>The 34 blueprint-eligible checks collapse into 11 reusable fix templates. This is the real MVP1 build scope — Rohan builds 11 templated fix generators, not 35. Each template is parameterised by the checks that feed it. Detect-only checks (Blueprint = N) surface findings with a guided manual fix and are out of the templated build.</t>
  </si>
  <si>
    <t>Template</t>
  </si>
  <si>
    <t>Checks fed</t>
  </si>
  <si>
    <t>What it does</t>
  </si>
  <si>
    <t>Pilot supplemental preflight gates</t>
  </si>
  <si>
    <t>The 42-check sheet remains the headline onboarding-score scope. Twelve additional checks are executed on demand only when required by one of the 16 pilot blueprints. They do not change the headline score; a FAIL blocks only the dependent pilot. See '11 Pilot Supplemental Gates'.</t>
  </si>
  <si>
    <t>Approved contact create/upsert (batchupsertv2) for classified identity gaps; klints_backfill marker.</t>
  </si>
  <si>
    <t>T2 Identity key repair</t>
  </si>
  <si>
    <t>CI-05, CI-16</t>
  </si>
  <si>
    <t>Backfill externalId / klints_erp_id join keys from matched pairs; enforce on future syncs.</t>
  </si>
  <si>
    <t>T3 Contact merge</t>
  </si>
  <si>
    <t>CI-03</t>
  </si>
  <si>
    <t>Survivor designation, tag/detail merge, event re-point; loser suppression with snapshot log.</t>
  </si>
  <si>
    <t>T4 Field normalisation</t>
  </si>
  <si>
    <t>CI-09, SP-03, PT-07, LE-06</t>
  </si>
  <si>
    <t>Format cleaners (E.164, detail formats, currency basis, timestamp units) via approved batch upsert; prior values to audit log.</t>
  </si>
  <si>
    <t>T5 Event backfill</t>
  </si>
  <si>
    <t>LE-01, LE-05, LE-07, LE-09, LE-14</t>
  </si>
  <si>
    <t>Add missing PURCHASE/CART/RETURN events from Shopify gap lists (batchAddContactExtEvent, 1000/batch); externalId keyed.</t>
  </si>
  <si>
    <t>T6 Event correction</t>
  </si>
  <si>
    <t>LE-02, LE-04, PT-04</t>
  </si>
  <si>
    <t>Dedup and value correction; klints_net_ltv governed value where platform can't net refunds.</t>
  </si>
  <si>
    <t>T7 Catalog sync</t>
  </si>
  <si>
    <t>PT-01, PT-03, PT-05, PT-06, PT-09</t>
  </si>
  <si>
    <t>Catalog upsert / updatePrice / updateQuantity from commerce truth; ID convention enforced; webhook-driven.</t>
  </si>
  <si>
    <t>T8 Consent reconciliation</t>
  </si>
  <si>
    <t>CC-01, CC-02, CC-05</t>
  </si>
  <si>
    <t>Quadrant reconciliation with source-of-truth policy; forceOptIn/Out per policy; propagation loop.</t>
  </si>
  <si>
    <t>T9 Tag consolidation</t>
  </si>
  <si>
    <t>SP-01</t>
  </si>
  <si>
    <t>Variant→canonical retag via upsert; reverse map retained for rollback.</t>
  </si>
  <si>
    <t>T10 ERP attribute feed</t>
  </si>
  <si>
    <t>BR-01, BR-04, BR-05, BR-09, BR-11</t>
  </si>
  <si>
    <t>ERP→klints_ governed details (margin, status, commercial flags, consumption inputs); exclusion-by-rule on gaps.</t>
  </si>
  <si>
    <t>T11 Availability gating</t>
  </si>
  <si>
    <t>BR-02, BR-03</t>
  </si>
  <si>
    <t>Stock freshness sync + OOS auto-suppression via availability flags; pre-flight campaign gate.</t>
  </si>
  <si>
    <t>Sheet index</t>
  </si>
  <si>
    <t>02 Check Catalogue</t>
  </si>
  <si>
    <t>Master catalogue — one row per implementable check (the core of this document).</t>
  </si>
  <si>
    <t>03 Root Cause Taxonomy</t>
  </si>
  <si>
    <t>Closed classifier of root causes (RC-01…RC-15). Agents classify against this list; they do not invent causes.</t>
  </si>
  <si>
    <t>04 Coverage Matrix</t>
  </si>
  <si>
    <t>Entity × check-type completeness grid. Empty cells are explicit n/a with reasons.</t>
  </si>
  <si>
    <t>05 Initial Connect Runbook</t>
  </si>
  <si>
    <t>Phase-ordered agent runbook for the onboarding sweep, referencing Check IDs.</t>
  </si>
  <si>
    <t>06 Field Mapping Reference</t>
  </si>
  <si>
    <t>Canonical entity → Manago / Shopify / ERP field mapping. The neutrality layer.</t>
  </si>
  <si>
    <t>Check Catalogue — Initial Data Consistency Check</t>
  </si>
  <si>
    <t>One row = one implementable check · 102 checks · Foundation Gate + seven DCS dimensions</t>
  </si>
  <si>
    <t>Detection logic is written against the Klints canonical model; Manago/Shopify/ERP columns name the concrete surfaces. Severity ≠ DCS Weight: severity is issue impact, weight is score pull.</t>
  </si>
  <si>
    <t>Check ID</t>
  </si>
  <si>
    <t>DCS Dimension</t>
  </si>
  <si>
    <t>Check Name</t>
  </si>
  <si>
    <t>Entity</t>
  </si>
  <si>
    <t>Systems Compared</t>
  </si>
  <si>
    <t>Check Type</t>
  </si>
  <si>
    <t>Detection Logic</t>
  </si>
  <si>
    <t>Manago Surface</t>
  </si>
  <si>
    <t>Shopify Surface</t>
  </si>
  <si>
    <t>ERP Surface</t>
  </si>
  <si>
    <t>Inconsistency Type</t>
  </si>
  <si>
    <t>Root Causes</t>
  </si>
  <si>
    <t>Business Impact</t>
  </si>
  <si>
    <t>Affected Workflows</t>
  </si>
  <si>
    <t>DCS Weight</t>
  </si>
  <si>
    <t>Suggested Fix</t>
  </si>
  <si>
    <t>Fix Type</t>
  </si>
  <si>
    <t>Fix Owner</t>
  </si>
  <si>
    <t>Rollback Note</t>
  </si>
  <si>
    <t>MVP1 Fix Blueprint</t>
  </si>
  <si>
    <t>Fix Template</t>
  </si>
  <si>
    <t>Build Priority</t>
  </si>
  <si>
    <t>FD-01</t>
  </si>
  <si>
    <t>Manago API authentication valid</t>
  </si>
  <si>
    <t>Connection</t>
  </si>
  <si>
    <t>Manago</t>
  </si>
  <si>
    <t>Connectivity</t>
  </si>
  <si>
    <t>Signed test call (sha1 of apiKey+clientId+apiSecret) to a read endpoint returns success=true; verify per-account endpoint URL resolves.</t>
  </si>
  <si>
    <t>v2 auth: clientId + apiKey + sha + requestTime + owner; per-account endpoint</t>
  </si>
  <si>
    <t>—</t>
  </si>
  <si>
    <t>Credentials invalid, expired, or wrong endpoint region</t>
  </si>
  <si>
    <t>RC-12</t>
  </si>
  <si>
    <t>No check can run; onboarding blocked at step one.</t>
  </si>
  <si>
    <t>All</t>
  </si>
  <si>
    <t>Gate — blocks scoring</t>
  </si>
  <si>
    <t>Re-capture credentials in onboarding; validate endpoint URL format; store in secret manager with per-tenant scoping.</t>
  </si>
  <si>
    <t>Configuration</t>
  </si>
  <si>
    <t>Klints (automated)</t>
  </si>
  <si>
    <t>No writes performed; nothing to roll back.</t>
  </si>
  <si>
    <t>Initial + Recurring</t>
  </si>
  <si>
    <t>N</t>
  </si>
  <si>
    <t>P0</t>
  </si>
  <si>
    <t>FD-02</t>
  </si>
  <si>
    <t>Shopify API authentication and scopes</t>
  </si>
  <si>
    <t>Shopify</t>
  </si>
  <si>
    <t>OAuth token valid; granted scopes include read_customers, read_orders, read_products, read_inventory; log any missing scope.</t>
  </si>
  <si>
    <t>Admin API OAuth token + access scopes</t>
  </si>
  <si>
    <t>Token revoked or scopes insufficient for full detection surface</t>
  </si>
  <si>
    <t>Checks silently degrade — e.g. no refund visibility without read_orders; DCS would be computed on partial data.</t>
  </si>
  <si>
    <t>Re-run OAuth with full read scope set; hard-fail onboarding if a required scope is denied rather than scoring partially.</t>
  </si>
  <si>
    <t>No writes performed.</t>
  </si>
  <si>
    <t>FD-03</t>
  </si>
  <si>
    <t>ERP feed reachable and parseable</t>
  </si>
  <si>
    <t>ERP</t>
  </si>
  <si>
    <t>CSV/API feed retrievable; schema header matches agreed mapping template; row count &gt; 0; encoding valid UTF-8.</t>
  </si>
  <si>
    <t>ERP export (CSV schedule or API)</t>
  </si>
  <si>
    <t>Feed missing, schema changed, or encoding corrupt</t>
  </si>
  <si>
    <t>RC-06, RC-12</t>
  </si>
  <si>
    <t>Business Reality dimension cannot be scored; margin- and inventory-aware checks skipped.</t>
  </si>
  <si>
    <t>ERP-aware margin-safe, replenishment</t>
  </si>
  <si>
    <t>High</t>
  </si>
  <si>
    <t>Gate — BR dimension only</t>
  </si>
  <si>
    <t>Notify tenant with expected schema template; allow scoring to proceed with BR dimension flagged 'not connected' rather than silently zero.</t>
  </si>
  <si>
    <t>Data lead</t>
  </si>
  <si>
    <t>FD-04</t>
  </si>
  <si>
    <t>API rate-limit headroom measured</t>
  </si>
  <si>
    <t>Manago + Shopify</t>
  </si>
  <si>
    <t>Measure throttle responses during a controlled burst; record safe request budget per connector for the full sweep.</t>
  </si>
  <si>
    <t>v2/v3 endpoints (batch limits: 1000/request)</t>
  </si>
  <si>
    <t>Admin API rate limits (leaky bucket)</t>
  </si>
  <si>
    <t>Initial sweep aborts mid-run on rate limiting, producing a partial dataset</t>
  </si>
  <si>
    <t>RC-15</t>
  </si>
  <si>
    <t>A partial sweep produces a misleading DCS; worst failure mode is a score that looks complete but is not.</t>
  </si>
  <si>
    <t>Adaptive throttling with checkpoint/resume; never emit a score from an incomplete sweep — emit 'sweep incomplete' state instead.</t>
  </si>
  <si>
    <t>Initial</t>
  </si>
  <si>
    <t>FD-05</t>
  </si>
  <si>
    <t>Historical data depth available</t>
  </si>
  <si>
    <t>Manago + Shopify + ERP</t>
  </si>
  <si>
    <t>Determine max retrievable history per system (orders, events, contacts); record earliest timestamp per entity.</t>
  </si>
  <si>
    <t>External Events export; contact export</t>
  </si>
  <si>
    <t>Orders API (created_at range)</t>
  </si>
  <si>
    <t>ERP export range</t>
  </si>
  <si>
    <t>Systems expose different historical windows</t>
  </si>
  <si>
    <t>RC-09</t>
  </si>
  <si>
    <t>RFM, LTV and churn signals computed on asymmetric history are biased; must be declared, not assumed.</t>
  </si>
  <si>
    <t>RFM-based, winback, VIP progression</t>
  </si>
  <si>
    <t>Medium</t>
  </si>
  <si>
    <t>Gate — informs confidence</t>
  </si>
  <si>
    <t>Record per-entity history depth as sweep metadata; cap lookback of cross-system reconciliations to the shortest common window.</t>
  </si>
  <si>
    <t>FD-06</t>
  </si>
  <si>
    <t>Manago account/sub-account topology mapped</t>
  </si>
  <si>
    <t>Enumerate accounts/sub-accounts in scope; classify relationship (geo-variant / independent business line / segment-variant) before any cross-account check runs.</t>
  </si>
  <si>
    <t>Per-account endpoints; owner field</t>
  </si>
  <si>
    <t>Shopify store list (if Plus multi-store)</t>
  </si>
  <si>
    <t>Multi-account setup treated as single account, or cross-account checks applied where accounts are legitimately independent</t>
  </si>
  <si>
    <t>RC-11</t>
  </si>
  <si>
    <t>False positives flood the issue list (e.g. 'contact count mismatch' across intentionally separate markets), destroying trust in the score.</t>
  </si>
  <si>
    <t>All cross-account checks</t>
  </si>
  <si>
    <t>Gate — scopes all checks</t>
  </si>
  <si>
    <t>Onboarding captures account relationship classification; each cross-system check declares which classes it applies to.</t>
  </si>
  <si>
    <t>FD-07</t>
  </si>
  <si>
    <t>Manago site tracking code active</t>
  </si>
  <si>
    <t>Manago + Storefront</t>
  </si>
  <si>
    <t>Recent VISIT events exist and smclient cookies are being issued; verify monitoring code fires on the production storefront domain(s).</t>
  </si>
  <si>
    <t>VISIT events; smclient cookie; monitoring code</t>
  </si>
  <si>
    <t>Storefront theme (script presence)</t>
  </si>
  <si>
    <t>Tracking code absent, on wrong domain, or blocked</t>
  </si>
  <si>
    <t>Behavioural dimension of the contact model is empty: no visit history, no web identification, degraded segmentation and personalisation.</t>
  </si>
  <si>
    <t>Browse abandonment, web personalisation</t>
  </si>
  <si>
    <t>Gate — informs LE/ME checks</t>
  </si>
  <si>
    <t>Install/repair monitoring code via Shopify theme integration; verify with a live test visit before sweep.</t>
  </si>
  <si>
    <t>Integration build</t>
  </si>
  <si>
    <t>External integrator</t>
  </si>
  <si>
    <t>Script tag removal restores prior state.</t>
  </si>
  <si>
    <t>FD-08</t>
  </si>
  <si>
    <t>MCP surface availability (optional read path)</t>
  </si>
  <si>
    <t>Manago MCP</t>
  </si>
  <si>
    <t>If tenant has MCP enabled (mcp.manago.ai/mcp, OAuth), verify Klints can run read-only analytical queries as a secondary verification surface.</t>
  </si>
  <si>
    <t>MCP server (analytics, contact queries, segment reads)</t>
  </si>
  <si>
    <t>MCP unavailable or unauthorised</t>
  </si>
  <si>
    <t>No functional loss — deterministic checks run on the API. MCP adds a cheap cross-verification path for aggregate counts.</t>
  </si>
  <si>
    <t>None directly</t>
  </si>
  <si>
    <t>Low</t>
  </si>
  <si>
    <t>Informational</t>
  </si>
  <si>
    <t>Proceed without MCP; note availability in sweep metadata. Never use MCP as the primary source for a deterministic check (no field-level guarantees).</t>
  </si>
  <si>
    <t>P2</t>
  </si>
  <si>
    <t>CI-01</t>
  </si>
  <si>
    <t>Contact count reconciliation</t>
  </si>
  <si>
    <t>Contact / Customer</t>
  </si>
  <si>
    <t>Manago vs Shopify</t>
  </si>
  <si>
    <t>Cross-system reconciliation</t>
  </si>
  <si>
    <t>Compare total Manago contacts vs Shopify customers within common history window; compute overlap by normalised email; report counts in-both / Manago-only / Shopify-only.</t>
  </si>
  <si>
    <t>contact export (email, createdOn)</t>
  </si>
  <si>
    <t>customers (email, created_at)</t>
  </si>
  <si>
    <t>Customer universes diverge — one system holds contacts the other never received</t>
  </si>
  <si>
    <t>RC-01, RC-03, RC-09</t>
  </si>
  <si>
    <t>Segments and revenue-per-contact metrics computed on different denominators; campaigns miss real customers or target ghosts.</t>
  </si>
  <si>
    <t>All segmentation-driven workflows</t>
  </si>
  <si>
    <t>Classify the delta: guest checkouts (see CI-02), missing historical import (backfill via batchupsertv2, max 1000/batch), or newsletter-only contacts (legitimate). Backfill only classified gaps, with approval.</t>
  </si>
  <si>
    <t>Automated writeback (approved)</t>
  </si>
  <si>
    <t>Backfilled contacts are tagged klints_backfill for reversible identification; deletion restores prior state.</t>
  </si>
  <si>
    <t>Y</t>
  </si>
  <si>
    <t>T1 Identity backfill</t>
  </si>
  <si>
    <t>CI-02</t>
  </si>
  <si>
    <t>Guest checkout identity share</t>
  </si>
  <si>
    <t>Customer</t>
  </si>
  <si>
    <t>Presence</t>
  </si>
  <si>
    <t>Share of Shopify orders with no customer account or where customer has orders_count but no accepted account state; measure identifiable email coverage on guest orders.</t>
  </si>
  <si>
    <t>orders.customer, orders.email, customer.state</t>
  </si>
  <si>
    <t>Revenue attributed to anonymous or thin identities</t>
  </si>
  <si>
    <t>RC-03</t>
  </si>
  <si>
    <t>Guest buyers are invisible to lifecycle marketing — second-purchase and winback flows never trigger for them.</t>
  </si>
  <si>
    <t>Second-purchase accelerator, winback, replenishment</t>
  </si>
  <si>
    <t>Ensure guest order emails flow to Manago as contacts with PURCHASE events (email is the Manago primary key, account not required); add post-purchase account-creation nudge as a workflow opportunity.</t>
  </si>
  <si>
    <t>New contacts carry klints_source detail; reversible by filtered deletion.</t>
  </si>
  <si>
    <t>Duplicate contacts in Manago</t>
  </si>
  <si>
    <t>Contact</t>
  </si>
  <si>
    <t>Uniqueness</t>
  </si>
  <si>
    <t>Detect near-duplicate emails (case variants, whitespace, plus-aliases, common typo domains) and multiple contacts sharing the same externalId or phone.</t>
  </si>
  <si>
    <t>contact email (primary key), externalId, phone</t>
  </si>
  <si>
    <t>One person exists as several contact records with split history</t>
  </si>
  <si>
    <t>RC-04, RC-08</t>
  </si>
  <si>
    <t>Split purchase history breaks RFM, understates LTV, and one person receives duplicate or contradictory messaging.</t>
  </si>
  <si>
    <t>RFM-based, VIP progression, frequency-capped sends</t>
  </si>
  <si>
    <t>Merge plan per duplicate cluster: designate survivor (richest history), merge tags/details, re-point events; execute via contact upsert with approval; suppress losers.</t>
  </si>
  <si>
    <t>CRM manager</t>
  </si>
  <si>
    <t>Merge log retains loser snapshots; tags/details re-appliable. Event re-pointing is not reversible in bulk — approval screen must state this.</t>
  </si>
  <si>
    <t>CI-04</t>
  </si>
  <si>
    <t>Duplicate customers in Shopify</t>
  </si>
  <si>
    <t>Multiple Shopify customer IDs sharing one normalised email or phone; detect merge candidates on the commerce side.</t>
  </si>
  <si>
    <t>customers (email, phone, id)</t>
  </si>
  <si>
    <t>Commerce-side identity split feeds duplicated contacts downstream</t>
  </si>
  <si>
    <t>RC-04</t>
  </si>
  <si>
    <t>Any Manago sync keyed on Shopify customer ID imports the split; fixing only Manago leaves the source polluted.</t>
  </si>
  <si>
    <t>All identity-dependent workflows</t>
  </si>
  <si>
    <t>Flag for merchant-side merge (Shopify admin merge or app); Klints does not write to Shopify in MVP1 — detect-only with a guided task for the merchant.</t>
  </si>
  <si>
    <t>Manual (guided)</t>
  </si>
  <si>
    <t>Merchant ops</t>
  </si>
  <si>
    <t>N/A — no Klints write.</t>
  </si>
  <si>
    <t>P1</t>
  </si>
  <si>
    <t>CI-05</t>
  </si>
  <si>
    <t>External ID linkage integrity</t>
  </si>
  <si>
    <t>Referential integrity</t>
  </si>
  <si>
    <t>Manago contact externalId populated with Shopify customer ID; verify bijective mapping (no externalId reused across contacts, no contact linked to a nonexistent customer).</t>
  </si>
  <si>
    <t>contact externalId</t>
  </si>
  <si>
    <t>customers.id</t>
  </si>
  <si>
    <t>ERP customer number (if mapped)</t>
  </si>
  <si>
    <t>Link key missing, duplicated, or dangling</t>
  </si>
  <si>
    <t>RC-01, RC-02</t>
  </si>
  <si>
    <t>Without a stable join key every future reconciliation degrades to fuzzy email matching; writeback targeting becomes risky.</t>
  </si>
  <si>
    <t>All cross-system checks and writebacks</t>
  </si>
  <si>
    <t>Backfill externalId from email-matched pairs via contact upsert (approved batch); enforce the key on all future syncs; quarantine ambiguous matches for manual review.</t>
  </si>
  <si>
    <t>externalId writes logged per contact; previous value (usually empty) restorable from audit log.</t>
  </si>
  <si>
    <t>CI-06</t>
  </si>
  <si>
    <t>Manago-only contacts classified</t>
  </si>
  <si>
    <t>Contacts in Manago with no Shopify counterpart: classify by source (newsletter form, import, offline, other store) using owner, tags, and creation source signals.</t>
  </si>
  <si>
    <t>contact source signals (tags, owner, createdOn)</t>
  </si>
  <si>
    <t>customers (absence)</t>
  </si>
  <si>
    <t>Unexplained contact population of unknown origin and consent provenance</t>
  </si>
  <si>
    <t>RC-08, RC-09, RC-11</t>
  </si>
  <si>
    <t>Unclassified contacts pollute deliverability (stale imports), inflate segment sizes, and carry consent risk.</t>
  </si>
  <si>
    <t>All email sends; deliverability posture</t>
  </si>
  <si>
    <t>Classify and tag cohorts (klints_cohort detail); recommend sunset policy for unengaged unexplained imports rather than deletion.</t>
  </si>
  <si>
    <t>Cohort tags removable in bulk; no destructive action taken.</t>
  </si>
  <si>
    <t>CI-07</t>
  </si>
  <si>
    <t>Shopify-only customers (sync gap)</t>
  </si>
  <si>
    <t>Shopify vs Manago</t>
  </si>
  <si>
    <t>Shopify customers absent from Manago beyond expected sync lag; segment by created_at to distinguish historical gap vs live pipe failure.</t>
  </si>
  <si>
    <t>contact export (absence)</t>
  </si>
  <si>
    <t>New buyers never reach the marketing platform</t>
  </si>
  <si>
    <t>RC-01, RC-05, RC-09</t>
  </si>
  <si>
    <t>Every missing customer is a silent lifecycle-revenue leak — no welcome, no second-purchase, no winback ever fires.</t>
  </si>
  <si>
    <t>Welcome, second-purchase accelerator, all lifecycle flows</t>
  </si>
  <si>
    <t>If live pipe broken: repair integration first, then backfill via batchupsertv2 with consent mapping (CC-01 gates the consent fields). Historical-only gap: approved backfill.</t>
  </si>
  <si>
    <t>Integration build + Automated writeback (approved)</t>
  </si>
  <si>
    <t>Backfill tagged klints_backfill; reversible by filtered deletion.</t>
  </si>
  <si>
    <t>CI-08</t>
  </si>
  <si>
    <t>Email format validity</t>
  </si>
  <si>
    <t>Schema / format</t>
  </si>
  <si>
    <t>Syntactic validation of contact emails (RFC-lite), disposable-domain flagging, obvious typo domains (gmial.com etc.).</t>
  </si>
  <si>
    <t>contact email</t>
  </si>
  <si>
    <t>customers.email</t>
  </si>
  <si>
    <t>Undeliverable or junk identities held as primary keys</t>
  </si>
  <si>
    <t>RC-08</t>
  </si>
  <si>
    <t>Bounce rate inflation damages sender reputation; junk identities distort counts and match rates.</t>
  </si>
  <si>
    <t>All email workflows</t>
  </si>
  <si>
    <t>Flag invalid set; recommend suppression tag (not deletion) so history is retained; typo-domain candidates offered as one-click corrections with approval.</t>
  </si>
  <si>
    <t>Suppression tag removable; corrections logged with prior value.</t>
  </si>
  <si>
    <t>CI-09</t>
  </si>
  <si>
    <t>Phone number normalisation (E.164)</t>
  </si>
  <si>
    <t>Phone fields parseable to E.164; country-code inference cross-checked against address country; mismatch rate between systems.</t>
  </si>
  <si>
    <t>contact phone</t>
  </si>
  <si>
    <t>customers.phone</t>
  </si>
  <si>
    <t>ERP customer phone (if present)</t>
  </si>
  <si>
    <t>Phones stored in mixed local formats, unusable for SMS</t>
  </si>
  <si>
    <t>RC-08, RC-14</t>
  </si>
  <si>
    <t>SMS channel effectively dark for part of the base despite consent; mobile marketing consent wasted.</t>
  </si>
  <si>
    <t>SMS flows, WhatsApp, mobile push fallback</t>
  </si>
  <si>
    <t>Normalise to E.164 via approved batch upsert where inference is unambiguous; ambiguous cases queued for review.</t>
  </si>
  <si>
    <t>Prior raw value stored in audit log per contact; restorable.</t>
  </si>
  <si>
    <t>CI-10</t>
  </si>
  <si>
    <t>Name field mapping consistency</t>
  </si>
  <si>
    <t>Compare name fields on linked pairs; detect swapped first/last, ALL-CAPS artifacts, placeholder values ('test', '-').</t>
  </si>
  <si>
    <t>contact name</t>
  </si>
  <si>
    <t>customers.first_name / last_name</t>
  </si>
  <si>
    <t>Personalisation tokens render wrong or embarrassing</t>
  </si>
  <si>
    <t>RC-02, RC-08</t>
  </si>
  <si>
    <t>'Hi NOVAK jan' in a subject line costs more trust than no personalisation; low glamour, high visibility.</t>
  </si>
  <si>
    <t>Any personalised send</t>
  </si>
  <si>
    <t>Normalise casing and field order from the richer source with approved batch upsert; placeholder names blanked so templates fall back gracefully.</t>
  </si>
  <si>
    <t>Prior values in audit log; restorable.</t>
  </si>
  <si>
    <t>CI-11</t>
  </si>
  <si>
    <t>Address / country consistency</t>
  </si>
  <si>
    <t>Manago vs Shopify vs ERP</t>
  </si>
  <si>
    <t>Country and city on linked identities agree across systems; ISO country normalisation; share of contacts with no country anywhere.</t>
  </si>
  <si>
    <t>contact address fields</t>
  </si>
  <si>
    <t>customers.default_address</t>
  </si>
  <si>
    <t>ERP customer master address</t>
  </si>
  <si>
    <t>Geo attributes conflict or are absent</t>
  </si>
  <si>
    <t>Geo-segmented campaigns, tax/legal footers, and store-locale routing misfire; multi-geo governance impossible.</t>
  </si>
  <si>
    <t>Geo-segmented campaigns, locale routing</t>
  </si>
  <si>
    <t>Adopt precedence rule (ERP &gt; commerce &gt; MA unless fresher); normalise to ISO codes; write back to Manago details with approval.</t>
  </si>
  <si>
    <t>Prior values in audit log.</t>
  </si>
  <si>
    <t>CI-12</t>
  </si>
  <si>
    <t>Birthday validity and plausibility</t>
  </si>
  <si>
    <t>Birthday parseable, age within 13–100, not defaulted (1900-01-01, 1970-01-01 epoch artifacts); coverage share.</t>
  </si>
  <si>
    <t>contact birthday</t>
  </si>
  <si>
    <t>customers metafields (if used)</t>
  </si>
  <si>
    <t>Corrupt or placeholder birthdays trigger wrong automations</t>
  </si>
  <si>
    <t>Birthday flows fire for epoch-date cohorts on Jan 1; also a minor-age compliance surface.</t>
  </si>
  <si>
    <t>Birthday reward flow</t>
  </si>
  <si>
    <t>Blank implausible values (approved batch); report coverage so the birthday workflow's reachable audience is honest.</t>
  </si>
  <si>
    <t>Blanked values retained in audit log; restorable.</t>
  </si>
  <si>
    <t>CI-13</t>
  </si>
  <si>
    <t>Contact state distribution sanity</t>
  </si>
  <si>
    <t>Statistical anomaly</t>
  </si>
  <si>
    <t>Distribution of contact states (opt-in / opt-out / resigned / blocked) vs ICP benchmarks; spikes in blocked/resigned flagged with date clustering.</t>
  </si>
  <si>
    <t>contact state</t>
  </si>
  <si>
    <t>Abnormal share of dead states signals import damage or deliverability incident</t>
  </si>
  <si>
    <t>RC-08, RC-15</t>
  </si>
  <si>
    <t>A base that is 40% blocked is a deliverability crime scene — sending harder makes it worse; root incident must be found first.</t>
  </si>
  <si>
    <t>All email sends</t>
  </si>
  <si>
    <t>Cluster state changes by date to locate the incident (bad import, blacklist event); remediation plan is investigative, not automated.</t>
  </si>
  <si>
    <t>N/A — read-only analysis.</t>
  </si>
  <si>
    <t>CI-14</t>
  </si>
  <si>
    <t>Web identity match rate</t>
  </si>
  <si>
    <t>Contact / Visitor</t>
  </si>
  <si>
    <t>Share of monitored visits attached to identified contacts (smclient linkage) vs anonymous; benchmark against traffic mix.</t>
  </si>
  <si>
    <t>smclient cookie, VISIT events</t>
  </si>
  <si>
    <t>storefront traffic (GA-comparable volume, optional)</t>
  </si>
  <si>
    <t>Identification pipeline underperforming — visits not linked to contacts</t>
  </si>
  <si>
    <t>RC-12, RC-03</t>
  </si>
  <si>
    <t>Browse-abandonment and on-site personalisation address only the identified slice; a low match rate quietly caps those workflows' revenue.</t>
  </si>
  <si>
    <t>Browse abandonment, on-site personalisation</t>
  </si>
  <si>
    <t>Verify identification touchpoints (login, checkout, email-click landing) pass identity to the monitoring code; fix via SDK/theme integration.</t>
  </si>
  <si>
    <t>Script-level change; revert restores prior behaviour.</t>
  </si>
  <si>
    <t>CI-15</t>
  </si>
  <si>
    <t>Contact record freshness</t>
  </si>
  <si>
    <t>Freshness</t>
  </si>
  <si>
    <t>Distribution of modifiedOn across the base; share untouched &gt; 24 months; freshness of linked pairs vs Shopify updated_at.</t>
  </si>
  <si>
    <t>contact modifiedOn</t>
  </si>
  <si>
    <t>customers.updated_at</t>
  </si>
  <si>
    <t>Large stale cohort — records no pipeline has touched in years</t>
  </si>
  <si>
    <t>RC-09, RC-01</t>
  </si>
  <si>
    <t>Stale records mean the sync has holes or the base carries dead weight; either way segment counts overstate the live audience.</t>
  </si>
  <si>
    <t>All segmentation</t>
  </si>
  <si>
    <t>Cross-reference stale cohort with CI-07 gap analysis; recommend engagement-based sunset segment rather than deletion.</t>
  </si>
  <si>
    <t>CI-16</t>
  </si>
  <si>
    <t>ERP customer master linkage</t>
  </si>
  <si>
    <t>ERP vs Shopify vs Manago</t>
  </si>
  <si>
    <t>ERP customer identifiers joinable to Shopify customers (and thus Manago contacts); measure three-way join coverage.</t>
  </si>
  <si>
    <t>contact externalId or klints_erp_id detail</t>
  </si>
  <si>
    <t>customers.id / email</t>
  </si>
  <si>
    <t>ERP customer number, email</t>
  </si>
  <si>
    <t>ERP truth cannot be attached to marketing identities</t>
  </si>
  <si>
    <t>Business Reality checks (credit status, B2B terms, true margin per customer) cannot reach the contact level without this join.</t>
  </si>
  <si>
    <t>ERP-aware flows, margin-safe VIP</t>
  </si>
  <si>
    <t>Establish mapping table in Klints canonical model; where email is the only join key, flag confidence per match; write klints_erp_id detail with approval.</t>
  </si>
  <si>
    <t>klints_erp_id detail removable in bulk.</t>
  </si>
  <si>
    <t>LE-01</t>
  </si>
  <si>
    <t>Purchase event count parity</t>
  </si>
  <si>
    <t>Order / PURCHASE event</t>
  </si>
  <si>
    <t>Per calendar month in common window: count Shopify orders (paid, non-test) vs Manago PURCHASE events; flag months deviating &gt; 2%.</t>
  </si>
  <si>
    <t>External Events type=PURCHASE</t>
  </si>
  <si>
    <t>orders (financial_status=paid, test=false)</t>
  </si>
  <si>
    <t>Orders exist that never became PURCHASE events (or vice versa)</t>
  </si>
  <si>
    <t>RC-01, RC-05, RC-15</t>
  </si>
  <si>
    <t>Transaction analytics, RFM and purchase-triggered automations run on an incomplete order universe; every missing event is a missed trigger.</t>
  </si>
  <si>
    <t>Post-purchase, cross-sell, RFM segments</t>
  </si>
  <si>
    <t>Order-level diff (LE-05) identifies exact gaps; backfill missing PURCHASE events via batchAddContactExtEvent with externalId=order ID; repair the live pipe if lag-pattern indicates ongoing loss.</t>
  </si>
  <si>
    <t>Backfilled events carry klints_backfill in detail20; identifiable, though event deletion support is limited — approval screen must state permanence.</t>
  </si>
  <si>
    <t>LE-02</t>
  </si>
  <si>
    <t>Purchase value parity</t>
  </si>
  <si>
    <t>Sum of PURCHASE event value vs sum of Shopify order totals per month; decompose deviation into missing events (LE-01), value-field errors, and gross/net definition drift.</t>
  </si>
  <si>
    <t>PURCHASE event value (float 7.2)</t>
  </si>
  <si>
    <t>orders.total_price / subtotal_price</t>
  </si>
  <si>
    <t>Revenue totals disagree between systems</t>
  </si>
  <si>
    <t>RC-02, RC-13, RC-14</t>
  </si>
  <si>
    <t>Marketing revenue reporting loses credibility with finance; value-based segments (VIP thresholds) mis-assign customers.</t>
  </si>
  <si>
    <t>VIP progression, value-tiered flows, reporting</t>
  </si>
  <si>
    <t>Fix value-mapping definition (decide gross vs net incl. shipping/tax, document in mapping config); correct systematically wrong events where updateContactExtEvent is safe; note update is not upsert — all fields must be resent.</t>
  </si>
  <si>
    <t>Event updates overwrite; prior values held in Klints raw layer for reference, not restorable in Manago.</t>
  </si>
  <si>
    <t>LE-03</t>
  </si>
  <si>
    <t>Order ID (externalId) presence on events</t>
  </si>
  <si>
    <t>PURCHASE event</t>
  </si>
  <si>
    <t>Share of PURCHASE events carrying externalId; without it, order-level reconciliation degrades to date+value heuristics.</t>
  </si>
  <si>
    <t>event externalId</t>
  </si>
  <si>
    <t>orders.id / order_number</t>
  </si>
  <si>
    <t>Events not joinable to their source orders</t>
  </si>
  <si>
    <t>RC-02, RC-13</t>
  </si>
  <si>
    <t>Deduplication, refund matching and per-order attribution all depend on this key; its absence multiplies every other reconciliation's cost.</t>
  </si>
  <si>
    <t>All order-linked automation logic</t>
  </si>
  <si>
    <t>Enforce externalId on the integration going forward; historical events without it matched heuristically and left as-is (update risk exceeds value).</t>
  </si>
  <si>
    <t>Forward-only fix; no historical rewrite.</t>
  </si>
  <si>
    <t>LE-04</t>
  </si>
  <si>
    <t>Duplicate purchase events per order</t>
  </si>
  <si>
    <t>Multiple PURCHASE events sharing one externalId (or same contact+date+value where externalId absent); duplicate rate over time.</t>
  </si>
  <si>
    <t>events (externalId)</t>
  </si>
  <si>
    <t>orders.id</t>
  </si>
  <si>
    <t>One order counted twice or more</t>
  </si>
  <si>
    <t>RC-04, RC-05, RC-13</t>
  </si>
  <si>
    <t>Inflated purchase frequency promotes customers into wrong RFM segments and VIP tiers; revenue double-counted; post-purchase flows fire twice.</t>
  </si>
  <si>
    <t>RFM, VIP progression, post-purchase</t>
  </si>
  <si>
    <t>Identify duplicate clusters; keep earliest event; integration fix for the duplication source (usually retry without idempotency); Manago event deletion is limited — where removal is impossible, mark duplicates in detail and exclude in Klints canonical layer.</t>
  </si>
  <si>
    <t>Integration build + Manual (guided)</t>
  </si>
  <si>
    <t>Canonical-layer exclusion fully reversible; Manago-side marks removable.</t>
  </si>
  <si>
    <t>LE-05</t>
  </si>
  <si>
    <t>Order-level event gap list</t>
  </si>
  <si>
    <t>Order</t>
  </si>
  <si>
    <t>Exact diff: every paid Shopify order without a matching PURCHASE event (by externalId, fallback heuristic), and every event without an order.</t>
  </si>
  <si>
    <t>events export</t>
  </si>
  <si>
    <t>orders</t>
  </si>
  <si>
    <t>Named, order-level gaps behind LE-01's aggregate deviation</t>
  </si>
  <si>
    <t>This is the actionable form of the parity checks — the fix operates on this list.</t>
  </si>
  <si>
    <t>Same as LE-01</t>
  </si>
  <si>
    <t>Approved batch backfill from this list (1000/batch); recheck parity after sync; recurring version guards the live pipe.</t>
  </si>
  <si>
    <t>Same as LE-01.</t>
  </si>
  <si>
    <t>LE-06</t>
  </si>
  <si>
    <t>Event timestamp sanity</t>
  </si>
  <si>
    <t>External Event</t>
  </si>
  <si>
    <t>Detect events with future dates, pre-founding dates, or second-vs-millisecond epoch confusion (dates in 1970 or 52,000 AD).</t>
  </si>
  <si>
    <t>event date (UNIX ms)</t>
  </si>
  <si>
    <t>orders.created_at</t>
  </si>
  <si>
    <t>Timestamps corrupt at ingestion (unit confusion is the classic)</t>
  </si>
  <si>
    <t>RC-13, RC-14</t>
  </si>
  <si>
    <t>Time-windowed segments and 'days since purchase' triggers misfire; a 1970 purchase makes a loyal customer look 55 years lapsed.</t>
  </si>
  <si>
    <t>Replenishment, winback, time-window segments</t>
  </si>
  <si>
    <t>Fix unit conversion in the integration; corrupt events re-dated via update where externalId allows confident matching; unmatched corrupt events excluded in canonical layer.</t>
  </si>
  <si>
    <t>Updates overwrite (not restorable in Manago); canonical exclusions reversible.</t>
  </si>
  <si>
    <t>LE-07</t>
  </si>
  <si>
    <t>Cart event coverage</t>
  </si>
  <si>
    <t>Checkout / CART event</t>
  </si>
  <si>
    <t>Shopify abandoned checkouts vs Manago CART events in window; measure capture rate and identity linkage (email present at abandonment).</t>
  </si>
  <si>
    <t>External Events type=CART</t>
  </si>
  <si>
    <t>checkouts (abandoned)</t>
  </si>
  <si>
    <t>Abandoned carts not reaching the marketing platform</t>
  </si>
  <si>
    <t>RC-01, RC-03</t>
  </si>
  <si>
    <t>Cart-abandonment is typically a top-3 revenue flow; every uncaptured cart is directly lost recovery revenue.</t>
  </si>
  <si>
    <t>Cart abandonment</t>
  </si>
  <si>
    <t>Repair CART event pipe (add/update via eventId, stored per cart); guest carts without email are a capture-point problem (exit-intent email capture opportunity), not a data fix.</t>
  </si>
  <si>
    <t>Forward-only.</t>
  </si>
  <si>
    <t>LE-08</t>
  </si>
  <si>
    <t>Stale open carts</t>
  </si>
  <si>
    <t>CART event</t>
  </si>
  <si>
    <t>CART events never updated to reflect purchase or expiry; share of open carts older than N days still eligible to trigger automations.</t>
  </si>
  <si>
    <t>CART events (eventId reuse, updateContactExtEvent)</t>
  </si>
  <si>
    <t>checkouts.completed_at / orders</t>
  </si>
  <si>
    <t>Carts remain 'open' after purchase or abandonment window</t>
  </si>
  <si>
    <t>RC-05, RC-13</t>
  </si>
  <si>
    <t>Customers receive cart-recovery nudges for products they already bought — the most visible way to look broken.</t>
  </si>
  <si>
    <t>Integration must update the CART event on completion (stored eventId; update is not upsert — resend all details); close stale carts by rule.</t>
  </si>
  <si>
    <t>Updates overwrite; acceptable for cart state.</t>
  </si>
  <si>
    <t>LE-09</t>
  </si>
  <si>
    <t>Returns and cancellations reflected</t>
  </si>
  <si>
    <t>Refund / RETURN event</t>
  </si>
  <si>
    <t>Shopify refunds and cancelled orders vs Manago RETURN / CANCELLATION events matched on externalId; measure coverage and value parity of the return stream.</t>
  </si>
  <si>
    <t>External Events type=RETURN / CANCELLATION</t>
  </si>
  <si>
    <t>refunds, orders.cancelled_at</t>
  </si>
  <si>
    <t>ERP credit notes (cross-check)</t>
  </si>
  <si>
    <t>Returns exist in commerce but the marketing platform never learns of them</t>
  </si>
  <si>
    <t>RC-01</t>
  </si>
  <si>
    <t>Per-contact transaction totals overstated; serial returners scored as VIPs; churn signals missed; margin reality invisible to lifecycle logic.</t>
  </si>
  <si>
    <t>RFM, VIP progression, churn-risk save, margin-safe flows</t>
  </si>
  <si>
    <t>Build the returns pipe: RETURN events via addContactExtEvent with externalId=order ID and value=refund amount; historical backfill for common window; recurring parity check thereafter.</t>
  </si>
  <si>
    <t>Backfilled events carry klints_backfill marker; treated as permanent (state approval clearly).</t>
  </si>
  <si>
    <t>LE-10</t>
  </si>
  <si>
    <t>Event type discipline</t>
  </si>
  <si>
    <t>Distribution of event types; detect misuse (e.g. PURCHASE used for reservations, OTHER as a dumping ground) and any type-changed events (which silently break automations).</t>
  </si>
  <si>
    <t>event contactExtEventType</t>
  </si>
  <si>
    <t>Event vocabulary polluted; automations keyed on types receive wrong triggers</t>
  </si>
  <si>
    <t>RC-13</t>
  </si>
  <si>
    <t>PURCHASE and CART feed analytics automatically — polluting them corrupts revenue analytics at the platform level, not just one workflow.</t>
  </si>
  <si>
    <t>All event-triggered automations, platform analytics</t>
  </si>
  <si>
    <t>Document intended type vocabulary in mapping config; re-route misused streams at the integration; never change type on existing events (platform rule: automations won't run on type-changed events).</t>
  </si>
  <si>
    <t>LE-11</t>
  </si>
  <si>
    <t>Event ingestion lag and loss</t>
  </si>
  <si>
    <t>Distribution of (event.date vs ingestion time); detect losses from the contact-not-exists retry window (events for contacts created later than 1h after event send are dropped by the platform).</t>
  </si>
  <si>
    <t>addContactExtEvent retry behaviour (5-min retry, 1h expiry)</t>
  </si>
  <si>
    <t>order/customer creation sequence</t>
  </si>
  <si>
    <t>Events silently dropped when contact creation races event send</t>
  </si>
  <si>
    <t>RC-05, RC-15</t>
  </si>
  <si>
    <t>First-purchase events for brand-new customers are the most likely casualties — precisely the trigger the welcome→second-purchase chain depends on.</t>
  </si>
  <si>
    <t>Welcome, second-purchase accelerator</t>
  </si>
  <si>
    <t>Integration ordering fix: upsert contact before sending events (or single orchestrated flow); recover recent drops from Shopify via gap list LE-05.</t>
  </si>
  <si>
    <t>Forward-only; recovery via LE-05 backfill.</t>
  </si>
  <si>
    <t>LE-12</t>
  </si>
  <si>
    <t>Event-to-contact attribution</t>
  </si>
  <si>
    <t>Sample-verify events attach to the intended contact (email vs contactId addressing consistency); detect events on merged/duplicate identities (ties to CI-03).</t>
  </si>
  <si>
    <t>event email/contactId addressing</t>
  </si>
  <si>
    <t>orders.customer.id</t>
  </si>
  <si>
    <t>Events landed on the wrong twin of a duplicate pair</t>
  </si>
  <si>
    <t>RC-04, RC-02</t>
  </si>
  <si>
    <t>History split across duplicates re-creates the CI-03 damage even after a merge, if the integration keeps addressing the dead twin.</t>
  </si>
  <si>
    <t>RFM, all history-dependent logic</t>
  </si>
  <si>
    <t>After CI-03 merge plan, repoint integration addressing to survivor identity (prefer contactId over email where stable); verify with post-merge sample.</t>
  </si>
  <si>
    <t>LE-13</t>
  </si>
  <si>
    <t>Event volume drift monitor</t>
  </si>
  <si>
    <t>Rolling 7/28-day PURCHASE+CART event volume vs order/checkout volume; alert on divergence trend before it becomes a parity failure.</t>
  </si>
  <si>
    <t>events volume</t>
  </si>
  <si>
    <t>orders/checkouts volume</t>
  </si>
  <si>
    <t>Slow degradation of the event pipe (partial failures, auth decay)</t>
  </si>
  <si>
    <t>Drift caught at 3% costs a batch backfill; drift caught at 30% costs a quarter of broken automation decisions.</t>
  </si>
  <si>
    <t>All event-triggered flows</t>
  </si>
  <si>
    <t>Recurring detector with threshold alerting into the DCS drift surface; remediation routes to LE-05 gap list.</t>
  </si>
  <si>
    <t>N/A — monitoring.</t>
  </si>
  <si>
    <t>Recurring</t>
  </si>
  <si>
    <t>LE-14</t>
  </si>
  <si>
    <t>Historical event depth vs order history</t>
  </si>
  <si>
    <t>Earliest PURCHASE event vs earliest Shopify order; quantify the pre-integration blind window that RFM/LTV currently ignores.</t>
  </si>
  <si>
    <t>events (min date)</t>
  </si>
  <si>
    <t>orders (min created_at)</t>
  </si>
  <si>
    <t>ERP order archive (deeper history)</t>
  </si>
  <si>
    <t>Marketing platform sees only post-integration history</t>
  </si>
  <si>
    <t>A customer with 8 pre-integration orders looks brand-new; winback and VIP logic misclassify the most valuable veterans.</t>
  </si>
  <si>
    <t>RFM, VIP, winback</t>
  </si>
  <si>
    <t>Approved historical backfill of PURCHASE events from Shopify (and ERP archive where deeper), respecting FD-05 window decisions; recompute RFM after load.</t>
  </si>
  <si>
    <t>Backfill marked klints_backfill; permanence stated at approval.</t>
  </si>
  <si>
    <t>LE-15</t>
  </si>
  <si>
    <t>Behavioural event presence (visits)</t>
  </si>
  <si>
    <t>VISIT event</t>
  </si>
  <si>
    <t>Visit history flowing for identified contacts (volume, recency) — the behavioural layer of the contact model is alive, not just transactional.</t>
  </si>
  <si>
    <t>VISIT events, visit history (URL/UTM/scoring)</t>
  </si>
  <si>
    <t>storefront (via monitoring code)</t>
  </si>
  <si>
    <t>Behavioural dimension empty despite FD-07 code present</t>
  </si>
  <si>
    <t>Scoring, browse-based segmentation and engagement recency all read from this stream; empty = those levers are decorative.</t>
  </si>
  <si>
    <t>Browse abandonment, engagement scoring, winback timing</t>
  </si>
  <si>
    <t>Diagnose code placement vs identification (ties CI-14); verify across storefront domains and consent-mode gating of the tracker.</t>
  </si>
  <si>
    <t>Script-level; revertible.</t>
  </si>
  <si>
    <t>PT-01</t>
  </si>
  <si>
    <t>Event product IDs resolve in catalog</t>
  </si>
  <si>
    <t>Product / Event</t>
  </si>
  <si>
    <t>Product IDs on PURCHASE/CART events (comma-separated products field) exist in the Product Catalog / XML feed for the matching location; measure dangling-ID rate.</t>
  </si>
  <si>
    <t>event products field; product catalog</t>
  </si>
  <si>
    <t>products.id / variants.id</t>
  </si>
  <si>
    <t>Events reference products the catalog does not know</t>
  </si>
  <si>
    <t>RC-02, RC-10, RC-13</t>
  </si>
  <si>
    <t>Recommendations, product-level automation conditions and post-purchase cross-sell silently skip or misfire on dangling IDs.</t>
  </si>
  <si>
    <t>Cross-sell, recommendations, product-triggered flows</t>
  </si>
  <si>
    <t>Align ID convention (product vs variant — see PT-09) in the integration; upsert missing active products to catalog via v3 product/upsert; historical dangling IDs mapped in canonical layer.</t>
  </si>
  <si>
    <t>Catalog upserts are updatable; mapping-table changes reversible.</t>
  </si>
  <si>
    <t>PT-02</t>
  </si>
  <si>
    <t>Location key consistency</t>
  </si>
  <si>
    <t>Event / Catalog</t>
  </si>
  <si>
    <t>location field on events matches the catalog/feed location identifier exactly (charset rules: a-zA-Z0-9_, must not start with digit); per-store mapping table verified.</t>
  </si>
  <si>
    <t>event location; catalog location</t>
  </si>
  <si>
    <t>store domain(s)</t>
  </si>
  <si>
    <t>Events cannot be linked to the right product feed / store</t>
  </si>
  <si>
    <t>RC-02, RC-11</t>
  </si>
  <si>
    <t>Multi-store and multi-locale tenants lose product resolution entirely for mismatched stores; recommendations pull from the wrong market.</t>
  </si>
  <si>
    <t>Recommendations, multi-store flows</t>
  </si>
  <si>
    <t>Canonical location mapping per store in Klints config; integration emits from that table only; correct catalog location where wrong.</t>
  </si>
  <si>
    <t>Configuration + Integration build</t>
  </si>
  <si>
    <t>Config change; reversible.</t>
  </si>
  <si>
    <t>PT-03</t>
  </si>
  <si>
    <t>Catalog completeness vs commerce</t>
  </si>
  <si>
    <t>Product</t>
  </si>
  <si>
    <t>Active Shopify products vs Manago catalog entries per location: missing, surplus (deleted in Shopify but live in catalog), and attribute-empty entries.</t>
  </si>
  <si>
    <t>v3 product catalog (catalogList, product entries)</t>
  </si>
  <si>
    <t>products (status=active)</t>
  </si>
  <si>
    <t>ERP item master (cross-check)</t>
  </si>
  <si>
    <t>Catalog is a stale subset or superset of the real assortment</t>
  </si>
  <si>
    <t>RC-01, RC-05, RC-10</t>
  </si>
  <si>
    <t>Recommendation engine and product conditions operate on a phantom assortment; deleted items can still be recommended.</t>
  </si>
  <si>
    <t>Recommendations, product conditions, dynamic emails</t>
  </si>
  <si>
    <t>Establish catalog sync (v3 product/upsert on product change webhooks); one-time reconciliation load; archive-flag surplus entries.</t>
  </si>
  <si>
    <t>Catalog entries updatable/flag-reversible.</t>
  </si>
  <si>
    <t>PT-04</t>
  </si>
  <si>
    <t>Net vs gross transaction truth per contact</t>
  </si>
  <si>
    <t>Contact transaction stats</t>
  </si>
  <si>
    <t>Per linked contact: Manago lifetime purchase value vs Shopify net revenue (orders minus refunds); quantify refund-blindness in per-contact totals (depends on LE-09).</t>
  </si>
  <si>
    <t>transaction statistics (total spend)</t>
  </si>
  <si>
    <t>orders minus refunds per customer</t>
  </si>
  <si>
    <t>ERP credit notes</t>
  </si>
  <si>
    <t>Contact-level value overstated by unrecognised returns</t>
  </si>
  <si>
    <t>VIP thresholds, value tiers, and 'best customer' logic promote serial returners; discount strategy targets exactly the wrong people.</t>
  </si>
  <si>
    <t>VIP progression, value-tier flows, loyalty</t>
  </si>
  <si>
    <t>Land LE-09 returns pipe, then recompute; where platform totals cannot net refunds, maintain klints_net_ltv detail as the governed value and point workflows at it.</t>
  </si>
  <si>
    <t>klints_net_ltv is a Klints-namespaced detail; removable in bulk.</t>
  </si>
  <si>
    <t>PT-05</t>
  </si>
  <si>
    <t>Price parity catalog vs commerce</t>
  </si>
  <si>
    <t>Catalog price/discountPrice vs current Shopify price per product/variant; staleness distribution; discount flag correctness.</t>
  </si>
  <si>
    <t>v3 product/updatePrice fields</t>
  </si>
  <si>
    <t>variants.price / compare_at_price</t>
  </si>
  <si>
    <t>ERP price list</t>
  </si>
  <si>
    <t>Displayed/recommended prices diverge from real prices</t>
  </si>
  <si>
    <t>RC-05, RC-01</t>
  </si>
  <si>
    <t>Dynamic emails and recommendations show wrong prices — a legal exposure in EU price-indication rules, not just an embarrassment.</t>
  </si>
  <si>
    <t>Dynamic price emails, recommendations, price-drop flows</t>
  </si>
  <si>
    <t>Wire price-change webhook → v3 product/updatePrice; one-time full price reconciliation; recurring parity sample.</t>
  </si>
  <si>
    <t>Price updates re-runnable from source of truth.</t>
  </si>
  <si>
    <t>PT-06</t>
  </si>
  <si>
    <t>Stock quantity parity</t>
  </si>
  <si>
    <t>Product / Inventory</t>
  </si>
  <si>
    <t>Catalog quantity vs Shopify inventory_levels vs ERP stock (three-way where ERP connected); flag negative, frozen, and stale quantities.</t>
  </si>
  <si>
    <t>v3 product/updateQuantity</t>
  </si>
  <si>
    <t>inventory_levels.available</t>
  </si>
  <si>
    <t>ERP stock per warehouse</t>
  </si>
  <si>
    <t>Availability truth differs per system</t>
  </si>
  <si>
    <t>RC-05, RC-01, RC-11</t>
  </si>
  <si>
    <t>Out-of-stock products promoted (see BR-03) and in-stock products suppressed; replenishment logic reads fiction.</t>
  </si>
  <si>
    <t>Replenishment, back-in-stock, recommendations</t>
  </si>
  <si>
    <t>Define authoritative source (usually ERP, else Shopify); sync chain ERP→Shopify→Manago with freshness SLA; one-time reconciliation.</t>
  </si>
  <si>
    <t>Quantity updates re-runnable from source.</t>
  </si>
  <si>
    <t>PT-07</t>
  </si>
  <si>
    <t>Currency normalisation</t>
  </si>
  <si>
    <t>Order / Event</t>
  </si>
  <si>
    <t>Multi-currency orders: event value currency basis consistent (presentment vs shop currency); mixed-currency aggregation detected in transaction stats.</t>
  </si>
  <si>
    <t>event value (no currency field — convention required)</t>
  </si>
  <si>
    <t>orders presentment/shop currency fields</t>
  </si>
  <si>
    <t>ERP document currency</t>
  </si>
  <si>
    <t>Values in mixed currencies summed as one number</t>
  </si>
  <si>
    <t>RC-02, RC-14</t>
  </si>
  <si>
    <t>A 1000 CZK order and a 1000 EUR order look identical to value logic — VIP tiers and revenue reporting become meaningless for multi-market tenants.</t>
  </si>
  <si>
    <t>Value-tier flows, reporting, RFM monetary axis</t>
  </si>
  <si>
    <t>Convention: emit event value converted to tenant base currency at order date; document rate source; backfill correction where deviation is material.</t>
  </si>
  <si>
    <t>Corrections overwrite (update not upsert); prior values in raw layer.</t>
  </si>
  <si>
    <t>PT-08</t>
  </si>
  <si>
    <t>Order value composition rule</t>
  </si>
  <si>
    <t>Verify a single documented rule for what event value contains (line items? shipping? tax? discounts?) by regression across sampled order pairs.</t>
  </si>
  <si>
    <t>event value</t>
  </si>
  <si>
    <t>orders.subtotal/total/shipping/tax fields</t>
  </si>
  <si>
    <t>Value definition drifted over integration versions</t>
  </si>
  <si>
    <t>RC-02, RC-06</t>
  </si>
  <si>
    <t>Two eras of events with different value semantics cannot be compared; every value threshold silently means two things.</t>
  </si>
  <si>
    <t>Value thresholds, reporting</t>
  </si>
  <si>
    <t>Fix the rule in mapping config (recommend: net merchandise value); flag the era boundary in canonical layer; correct only if deviation is material.</t>
  </si>
  <si>
    <t>Config change; canonical-layer flags reversible.</t>
  </si>
  <si>
    <t>PT-09</t>
  </si>
  <si>
    <t>Product vs variant ID convention</t>
  </si>
  <si>
    <t>Detect whether events and catalog use Shopify product IDs, variant IDs, SKUs, or a mix; a mixed convention is the root of most PT-01 dangling IDs.</t>
  </si>
  <si>
    <t>event products; catalog productId</t>
  </si>
  <si>
    <t>products.id vs variants.id vs sku</t>
  </si>
  <si>
    <t>ERP item number</t>
  </si>
  <si>
    <t>Identifier granularity inconsistent across the pipe</t>
  </si>
  <si>
    <t>Size/colour variants either collapse (losing replenishment precision) or fragment (breaking product-level stats); recommendations degrade.</t>
  </si>
  <si>
    <t>Replenishment, recommendations, product analytics</t>
  </si>
  <si>
    <t>Pick one convention (recommend variant-level with product-level rollup in canonical model); migrate catalog and integration; map historical IDs in canonical layer.</t>
  </si>
  <si>
    <t>Mapping-table driven; reversible at canonical layer.</t>
  </si>
  <si>
    <t>PT-10</t>
  </si>
  <si>
    <t>Deleted/archived product residue</t>
  </si>
  <si>
    <t>Catalog entries and collections referencing products deleted/archived in Shopify; recommendation surfaces still serving them.</t>
  </si>
  <si>
    <t>catalog entries; product collections</t>
  </si>
  <si>
    <t>products.status (archived), deleted webhooks</t>
  </si>
  <si>
    <t>ERP discontinued flag</t>
  </si>
  <si>
    <t>Dead products live on in marketing surfaces</t>
  </si>
  <si>
    <t>RC-10, RC-05</t>
  </si>
  <si>
    <t>Customers click recommendations into 404s or dead variants; every such click is burned trust and lost conversion.</t>
  </si>
  <si>
    <t>Recommendations, dynamic emails, collections</t>
  </si>
  <si>
    <t>Availability-flag sweep via v3 product/upsert; wire delete/archive webhooks; purge dead entries from collections.</t>
  </si>
  <si>
    <t>Flags reversible.</t>
  </si>
  <si>
    <t>PT-11</t>
  </si>
  <si>
    <t>Product attribute completeness</t>
  </si>
  <si>
    <t>Coverage of category, brand, image URL and product URL on catalog entries; attribute parity with Shopify source values.</t>
  </si>
  <si>
    <t>catalog product attributes</t>
  </si>
  <si>
    <t>products (product_type, vendor, images, handle)</t>
  </si>
  <si>
    <t>ERP item attributes</t>
  </si>
  <si>
    <t>Catalog entries exist but are attribute-poor</t>
  </si>
  <si>
    <t>Category-based recommendation strategies and dynamic email blocks degrade to generic output; segmentation by product affinity loses resolution.</t>
  </si>
  <si>
    <t>Recommendations, category-affinity segments</t>
  </si>
  <si>
    <t>Enrichment sync from Shopify fields via product/upsert; define minimum attribute contract per catalog entry in mapping config.</t>
  </si>
  <si>
    <t>Attribute updates re-runnable.</t>
  </si>
  <si>
    <t>PT-12</t>
  </si>
  <si>
    <t>Transaction statistics recomputation</t>
  </si>
  <si>
    <t>Sample contacts: platform-computed transaction stats (count, total, last purchase date) vs Klints recomputation from Shopify order history; systematic bias detection.</t>
  </si>
  <si>
    <t>transaction statistics (platform-computed)</t>
  </si>
  <si>
    <t>orders per customer</t>
  </si>
  <si>
    <t>Platform aggregates disagree with recomputed truth</t>
  </si>
  <si>
    <t>RC-01, RC-04, RC-09</t>
  </si>
  <si>
    <t>RFM segments (Champions, At Risk…) are only as good as these inputs; if aggregates are off, every RFM-conditioned workflow inherits the error.</t>
  </si>
  <si>
    <t>RFM segments, AI transactional segmentation</t>
  </si>
  <si>
    <t>Fix upstream causes (LE-01/04/09/14); after event repair, verify platform stats converge; if platform recompute lags, klints_ canonical stats become the governed reference.</t>
  </si>
  <si>
    <t>klints_ stat details removable in bulk.</t>
  </si>
  <si>
    <t>PT-13</t>
  </si>
  <si>
    <t>Coupon and discount consistency</t>
  </si>
  <si>
    <t>Coupon / Discount</t>
  </si>
  <si>
    <t>Coupons issued via Manago (addContactCoupon) vs discount codes existing/valid in Shopify; redemption events flowing back; expired codes still being sent.</t>
  </si>
  <si>
    <t>coupon API (addContactCoupon)</t>
  </si>
  <si>
    <t>price_rules / discount_codes, order discount_applications</t>
  </si>
  <si>
    <t>Marketing issues codes commerce won't honour, or redemptions never close the loop</t>
  </si>
  <si>
    <t>RC-01, RC-05</t>
  </si>
  <si>
    <t>A dead discount code in a winback email converts a save opportunity into a support ticket and a churn accelerant.</t>
  </si>
  <si>
    <t>Winback, VIP rewards, cart-recovery incentives</t>
  </si>
  <si>
    <t>Coupon lifecycle sync: issue→validate→redemption event; expiry parity check; block sends referencing codes failing validation (pre-flight gate).</t>
  </si>
  <si>
    <t>Forward-only pipe.</t>
  </si>
  <si>
    <t>PT-14</t>
  </si>
  <si>
    <t>Order value distribution anomaly</t>
  </si>
  <si>
    <t>AOV distribution of PURCHASE events vs Shopify orders (shape, not just sum): detect truncation, unit errors (×100 minor-units artifacts), test orders in the stream.</t>
  </si>
  <si>
    <t>event value distribution</t>
  </si>
  <si>
    <t>orders.total_price distribution</t>
  </si>
  <si>
    <t>Value stream shape distorted by systematic artifacts</t>
  </si>
  <si>
    <t>RC-13, RC-14, RC-08</t>
  </si>
  <si>
    <t>A minor-units bug (value=129900 for €1,299.00) poisons every value threshold at 100× scale while sums may still 'look plausible'.</t>
  </si>
  <si>
    <t>All value logic</t>
  </si>
  <si>
    <t>Distribution comparison flags the artifact class; remediation routes to LE-02/PT-07 fixes; test orders excluded by rule.</t>
  </si>
  <si>
    <t>N/A — detection routes elsewhere.</t>
  </si>
  <si>
    <t>PT-15</t>
  </si>
  <si>
    <t>Order status parity</t>
  </si>
  <si>
    <t>Shopify vs ERP</t>
  </si>
  <si>
    <t>Order status (paid/fulfilled/cancelled/refunded) agreement between Shopify and ERP for the common window; stuck-status detection.</t>
  </si>
  <si>
    <t>— (informs event semantics)</t>
  </si>
  <si>
    <t>orders.financial_status / fulfillment_status</t>
  </si>
  <si>
    <t>ERP order status</t>
  </si>
  <si>
    <t>Operational truth diverges between commerce and ERP</t>
  </si>
  <si>
    <t>Post-purchase flows keyed on fulfilment ('your order shipped') fire wrongly; cancelled orders may still drive cross-sell.</t>
  </si>
  <si>
    <t>Post-purchase, shipping notifications, cross-sell gating</t>
  </si>
  <si>
    <t>Identify the sync direction and lag; stuck orders listed for ops; Klints canonical order model records both statuses with precedence rule.</t>
  </si>
  <si>
    <t>N/A — read-only vs external systems.</t>
  </si>
  <si>
    <t>Tag taxonomy hygiene</t>
  </si>
  <si>
    <t>Tag</t>
  </si>
  <si>
    <t>Detect near-duplicate tags (case variants, plural/singular, typos, delimiter variants like VIP_CLIENT vs VIP-CLIENT), single-use tags, and tag count explosion.</t>
  </si>
  <si>
    <t>tags (primary external segmentation primitive)</t>
  </si>
  <si>
    <t>Tag namespace fragmented — same meaning under many labels</t>
  </si>
  <si>
    <t>RC-08, RC-04</t>
  </si>
  <si>
    <t>Segments built on one variant silently exclude contacts tagged with another; automation entry conditions leak audience.</t>
  </si>
  <si>
    <t>Every tag-conditioned automation and segment</t>
  </si>
  <si>
    <t>Consolidation map (variants → canonical tag); approved bulk retag via contact upsert; deprecated variants documented, not deleted, until automations are re-pointed.</t>
  </si>
  <si>
    <t>Retag operations logged; reverse map retained for rollback.</t>
  </si>
  <si>
    <t>SP-02</t>
  </si>
  <si>
    <t>Orphan and zero-population tags</t>
  </si>
  <si>
    <t>Tags referenced by no automation, segment, or recent send; tags on zero contacts; automations conditioned on tags that no longer get assigned.</t>
  </si>
  <si>
    <t>tags; workflow conditions</t>
  </si>
  <si>
    <t>Dead vocabulary and dead-end automation conditions</t>
  </si>
  <si>
    <t>RC-10, RC-08</t>
  </si>
  <si>
    <t>Automations waiting on never-assigned tags are silent failures — built, believed in, and doing nothing.</t>
  </si>
  <si>
    <t>Any tag-gated workflow</t>
  </si>
  <si>
    <t>Cross-reference tag usage vs assignment sources; flag dead-end conditions to CRM manager with the specific automation named.</t>
  </si>
  <si>
    <t>N/A — advisory.</t>
  </si>
  <si>
    <t>SP-03</t>
  </si>
  <si>
    <t>Standard detail schema consistency</t>
  </si>
  <si>
    <t>Contact detail</t>
  </si>
  <si>
    <t>Per detail key: value format distribution (dates as text, mixed languages, mixed units, boolean spelled five ways); keys duplicating each other semantically.</t>
  </si>
  <si>
    <t>standard details (free-form key-value)</t>
  </si>
  <si>
    <t>customer metafields (source comparison)</t>
  </si>
  <si>
    <t>Free-form details drifted into inconsistent formats</t>
  </si>
  <si>
    <t>RC-06, RC-08</t>
  </si>
  <si>
    <t>Segmentation conditions on details match only the format-majority; personalisation tokens ($cst.detail$) render raw junk for the rest.</t>
  </si>
  <si>
    <t>Detail-conditioned segments, personalised content</t>
  </si>
  <si>
    <t>Per-key format contract in mapping config; normalisation batch via upsert (approved); date-type details migrated to date. prefix convention where proximity triggers are wanted.</t>
  </si>
  <si>
    <t>Prior values in audit log; restorable per key.</t>
  </si>
  <si>
    <t>SP-04</t>
  </si>
  <si>
    <t>Date-prefixed detail validity</t>
  </si>
  <si>
    <t>All date.-prefixed details parse as valid dates; plausibility window; coverage for details that proximity-triggered automations depend on. IMPORTANT (verify vs Manago docs before build): Manago's proximity trigger is 'Date from dictionary detail approaching' — confirm whether the reorder date must be written as a standard date. detail or a dictionary detail for the trigger to read it. Klints must write klints_next_refill as the EXACT type the trigger consumes, or UC-11/14/38/39 never fire.</t>
  </si>
  <si>
    <t>date. prefix details (proximity triggers)</t>
  </si>
  <si>
    <t>Date details corrupt → proximity automations misfire or never fire</t>
  </si>
  <si>
    <t>A replenishment trigger reading a broken date.next_refill fires never or daily — both destroy the workflow's economics.</t>
  </si>
  <si>
    <t>Replenishment, renewal, anniversary flows</t>
  </si>
  <si>
    <t>Parse-and-normalise batch (approved); invalid values blanked with incident list; integration writes validated at source going forward.</t>
  </si>
  <si>
    <t>SP-05</t>
  </si>
  <si>
    <t>Dictionary detail domain compliance</t>
  </si>
  <si>
    <t>Dictionary detail</t>
  </si>
  <si>
    <t>Dictionary detail values fall within their predefined value lists; detect free-text leakage into structured dictionaries.</t>
  </si>
  <si>
    <t>dictionary details (predefined key + value list)</t>
  </si>
  <si>
    <t>Structured fields polluted with out-of-domain values</t>
  </si>
  <si>
    <t>RC-13, RC-08</t>
  </si>
  <si>
    <t>The point of dictionary details is reliable segmentation; out-of-domain values reintroduce exactly the fuzziness they exist to prevent.</t>
  </si>
  <si>
    <t>Dictionary-conditioned segments</t>
  </si>
  <si>
    <t>Map stray values into the domain or extend the dictionary deliberately; fix the writing integration to validate against the list.</t>
  </si>
  <si>
    <t>Value remaps logged; restorable.</t>
  </si>
  <si>
    <t>SP-06</t>
  </si>
  <si>
    <t>Key Information completeness</t>
  </si>
  <si>
    <t>Key Information</t>
  </si>
  <si>
    <t>Coverage of Preference Center / Key Information fields vs configured schema (keyInformation/get); population rate per field vs its use in segmentation and workflow conditions.</t>
  </si>
  <si>
    <t>v3 keyInformation get/upsert</t>
  </si>
  <si>
    <t>Zero-party data structure configured but empty</t>
  </si>
  <si>
    <t>RC-01, RC-12</t>
  </si>
  <si>
    <t>Preference-based personalisation and consent-adjacent targeting have no fuel; workflows conditioned on preferences address near-empty segments.</t>
  </si>
  <si>
    <t>Preference-driven flows, Preference Center journeys</t>
  </si>
  <si>
    <t>Report coverage honestly; propose collection touchpoints (post-purchase micro-survey, preference campaign) as workflow opportunities rather than a data fix.</t>
  </si>
  <si>
    <t>SP-07</t>
  </si>
  <si>
    <t>klints_ namespace availability</t>
  </si>
  <si>
    <t>Detail / Tag namespace</t>
  </si>
  <si>
    <t>Verify no pre-existing details/tags collide with the klints_ prefix and klints: tag convention; reserve the namespace in mapping config.</t>
  </si>
  <si>
    <t>details and tags with klints_ / klints: prefix</t>
  </si>
  <si>
    <t>Namespace collision would make Klints writes ambiguous with legacy data</t>
  </si>
  <si>
    <t>Every Klints writeback, rollback and audit assertion depends on the namespace being exclusively Klints-owned; collision poisons the audit trail from day one.</t>
  </si>
  <si>
    <t>All Klints writeback operations</t>
  </si>
  <si>
    <t>Gate — blocks writeback</t>
  </si>
  <si>
    <t>If collisions found: catalogue them, rename legacy items with approval, or version the Klints prefix for this tenant; writeback stays blocked until namespace is clean.</t>
  </si>
  <si>
    <t>Renames logged with reverse map.</t>
  </si>
  <si>
    <t>SP-08</t>
  </si>
  <si>
    <t>Segment population sanity</t>
  </si>
  <si>
    <t>Segment</t>
  </si>
  <si>
    <t>Enumerate saved segments/dynamic segments: flag 0-contact segments, all-contacts segments, and segments whose population shifted &gt;50% since last recount.</t>
  </si>
  <si>
    <t>segmentation center, dynamic segments (recounted before use)</t>
  </si>
  <si>
    <t>Segments defined but selecting nothing / everything / erratically</t>
  </si>
  <si>
    <t>RC-06, RC-08, RC-10</t>
  </si>
  <si>
    <t>A campaign aimed at a broken segment either sends to nobody (silent failure) or everybody (visible disaster).</t>
  </si>
  <si>
    <t>All segment-targeted campaigns</t>
  </si>
  <si>
    <t>Per broken segment: trace condition against underlying data checks (tag hygiene SP-01, detail formats SP-03); repair the condition or the data, re-verify count.</t>
  </si>
  <si>
    <t>Segment definitions editable; prior definition documented before change.</t>
  </si>
  <si>
    <t>SP-09</t>
  </si>
  <si>
    <t>Funnel stage assignment coverage</t>
  </si>
  <si>
    <t>Funnel</t>
  </si>
  <si>
    <t>Contacts assigned to funnels/stages vs total base; stages with zero movement in 90 days; funnel structure vs the tenant's actual lifecycle model.</t>
  </si>
  <si>
    <t>funnel API (v2 funnel category)</t>
  </si>
  <si>
    <t>Funnels exist as furniture, not as living lifecycle state</t>
  </si>
  <si>
    <t>RC-08, RC-10</t>
  </si>
  <si>
    <t>If funnel stage is used as an automation condition anywhere, stale assignment quietly gates real sends; if unused, it misleads human operators reading the platform.</t>
  </si>
  <si>
    <t>Funnel-conditioned automations</t>
  </si>
  <si>
    <t>Decide per tenant: retire unused funnels or wire assignment rules; Klints lifecycle stage model (canonical) becomes the governed alternative.</t>
  </si>
  <si>
    <t>SP-10</t>
  </si>
  <si>
    <t>RFM computability coverage</t>
  </si>
  <si>
    <t>RFM segment</t>
  </si>
  <si>
    <t>Share of contacts with RFM segment assigned; unassigned share decomposed into no-purchase-history (legitimate) vs missing-events (LE-01/14 damage).</t>
  </si>
  <si>
    <t>RFM segments (computed from purchase External Events)</t>
  </si>
  <si>
    <t>orders per customer (truth)</t>
  </si>
  <si>
    <t>RFM coverage gap caused by event gaps, not by customer behaviour</t>
  </si>
  <si>
    <t>RC-01, RC-09</t>
  </si>
  <si>
    <t>Champions sitting in 'no data' are excluded from every RFM-driven workflow — the best customers get the least sophisticated treatment.</t>
  </si>
  <si>
    <t>All RFM-conditioned workflows</t>
  </si>
  <si>
    <t>Remediation is upstream (LE-05/LE-14 backfill); this check verifies RFM converges after event repair and quantifies the before/after.</t>
  </si>
  <si>
    <t>Follows LE backfill rollback posture.</t>
  </si>
  <si>
    <t>SP-11</t>
  </si>
  <si>
    <t>Contradictory property states</t>
  </si>
  <si>
    <t>Cross-field consistency</t>
  </si>
  <si>
    <t>Rule-based contradiction scan: VIP tag with zero purchases; churn-risk tag with purchase this week; B2B tag with consumer-only history; loyalty tier above spend threshold.</t>
  </si>
  <si>
    <t>tags + transaction stats + details combined</t>
  </si>
  <si>
    <t>orders (verification)</t>
  </si>
  <si>
    <t>Contact state internally inconsistent</t>
  </si>
  <si>
    <t>RC-08, RC-05, RC-10</t>
  </si>
  <si>
    <t>Contradictions route contacts into mutually exclusive journeys simultaneously — the customer experiences the brand as incoherent.</t>
  </si>
  <si>
    <t>VIP, churn-save, loyalty flows</t>
  </si>
  <si>
    <t>Contradiction rules shipped as Klints config; per-cluster resolution proposals (which signal wins) approved by CRM manager; bulk retag.</t>
  </si>
  <si>
    <t>Retags logged with reverse map.</t>
  </si>
  <si>
    <t>SP-12</t>
  </si>
  <si>
    <t>Property freshness on decision fields</t>
  </si>
  <si>
    <t>Last-write recency for the details/tags that gate live automations (from workflow condition inventory); stale-beyond-SLA share per field.</t>
  </si>
  <si>
    <t>details write timestamps (via export deltas)</t>
  </si>
  <si>
    <t>Decision-critical fields no longer being maintained</t>
  </si>
  <si>
    <t>RC-05, RC-10</t>
  </si>
  <si>
    <t>An automation conditioned on a field last written 14 months ago is running on archaeology.</t>
  </si>
  <si>
    <t>Any detail-gated workflow</t>
  </si>
  <si>
    <t>Per stale field: locate the abandoned writer (integration change, retired rule) and repair or retire the condition.</t>
  </si>
  <si>
    <t>N/A — advisory routing.</t>
  </si>
  <si>
    <t>SP-13</t>
  </si>
  <si>
    <t>Source field mapping coverage</t>
  </si>
  <si>
    <t>Which Shopify customer fields (tags, note attributes, metafields, accepts_marketing, orders_count, total_spent) are mapped into Manago at all; mapping coverage vs Klints canonical model requirements.</t>
  </si>
  <si>
    <t>details / tags (mapped targets)</t>
  </si>
  <si>
    <t>customers full field surface</t>
  </si>
  <si>
    <t>ERP fields (mapped subset)</t>
  </si>
  <si>
    <t>Valuable source fields never mapped — data exists, marketing can't see it</t>
  </si>
  <si>
    <t>Unmapped fields are invisible leverage: e.g. Shopify customer tags carrying wholesale/retail split that Manago segmentation never receives.</t>
  </si>
  <si>
    <t>Segmentation depth generally</t>
  </si>
  <si>
    <t>Mapping-coverage report against canonical model; propose mapping additions ranked by workflow value; implement via integration + backfill upsert.</t>
  </si>
  <si>
    <t>New mappings additive; removable.</t>
  </si>
  <si>
    <t>SP-14</t>
  </si>
  <si>
    <t>Loyalty state vs transaction reality</t>
  </si>
  <si>
    <t>Loyalty</t>
  </si>
  <si>
    <t>Loyalty tier/points (v2 loyalty API) vs recomputed entitlement from net transaction history; over/under-credited cohorts.</t>
  </si>
  <si>
    <t>loyalty program state</t>
  </si>
  <si>
    <t>orders minus refunds</t>
  </si>
  <si>
    <t>Loyalty state disconnected from real purchase behaviour</t>
  </si>
  <si>
    <t>Over-credited members get margin-burning rewards; under-credited members experience the program as broken — both directly monetary.</t>
  </si>
  <si>
    <t>Loyalty flows, VIP rewards</t>
  </si>
  <si>
    <t>Recompute entitlement on repaired event stream (post LE-09); adjustment plan approved by CRM manager; communicate corrections carefully (member-visible).</t>
  </si>
  <si>
    <t>Loyalty adjustments member-visible; treat as forward-only with communication plan.</t>
  </si>
  <si>
    <t>CC-01</t>
  </si>
  <si>
    <t>Email opt-in parity</t>
  </si>
  <si>
    <t>Consent</t>
  </si>
  <si>
    <t>Consent compliance</t>
  </si>
  <si>
    <t>Per linked identity: Shopify email_marketing_consent (state, opt_in_level, consent_updated_at) vs Manago email marketing status; four-quadrant matrix (in/in, in/out, out/in, out/out) with counts.</t>
  </si>
  <si>
    <t>email marketing consent + reason/source</t>
  </si>
  <si>
    <t>customers.email_marketing_consent</t>
  </si>
  <si>
    <t>Consent states disagree between commerce and marketing platform</t>
  </si>
  <si>
    <t>RC-07, RC-05, RC-01</t>
  </si>
  <si>
    <t>out-of-sync 'in Shopify / out in Manago' = lost revenue reach; 'out in Shopify / in in Manago' = compliance exposure — the second quadrant is a GDPR incident waiting for a regulator.</t>
  </si>
  <si>
    <t>Every email send</t>
  </si>
  <si>
    <t>Define consent source-of-truth and precedence per direction (opt-outs propagate everywhere immediately; opt-ins propagate only with provable consent record — agent-set opt-ins do not qualify, see CC-03); approved reconciliation batch via upsert with forceOptIn/forceOptOut used strictly per policy; live bi-directional sync thereafter.</t>
  </si>
  <si>
    <t>Consent writes logged with prior state + source; opt-out propagation is deliberately not rolled back.</t>
  </si>
  <si>
    <t>CC-02</t>
  </si>
  <si>
    <t>SMS / mobile consent parity</t>
  </si>
  <si>
    <t>Shopify sms_marketing_consent vs Manago mobile marketing status on linked identities; same four-quadrant treatment as CC-01.</t>
  </si>
  <si>
    <t>mobile marketing consent</t>
  </si>
  <si>
    <t>customers.sms_marketing_consent</t>
  </si>
  <si>
    <t>Mobile channel consent diverges</t>
  </si>
  <si>
    <t>RC-07, RC-05</t>
  </si>
  <si>
    <t>SMS is high-cost, high-regulation (per-message fees + telecom rules); sending to a revoked consent is both a fine risk and money burned.</t>
  </si>
  <si>
    <t>SMS flows, WhatsApp</t>
  </si>
  <si>
    <t>Same source-of-truth policy as CC-01, mobile-specific; reconcile with approval; phone validity (CI-09) checked jointly so consented-but-unreachable is also surfaced.</t>
  </si>
  <si>
    <t>Same posture as CC-01.</t>
  </si>
  <si>
    <t>CC-03</t>
  </si>
  <si>
    <t>Consent provenance completeness</t>
  </si>
  <si>
    <t>Share of opted-in contacts with consent source/reason and timestamp populated; imports with consent state but no provenance flagged as a distinct cohort. NOTE (Malfini live-testing): consent written via the Manago assistant's add/opt-in action carries NO timestamped, customer-originated record — it is not proof of actual consent. Agent-set opt-ins must be treated as weak-provenance and flagged distinctly from customer-originated consent.</t>
  </si>
  <si>
    <t>consent source + reason fields; contact state</t>
  </si>
  <si>
    <t>customers consent_updated_at (cross-ref)</t>
  </si>
  <si>
    <t>Opt-ins that cannot be evidenced</t>
  </si>
  <si>
    <t>RC-08, RC-09</t>
  </si>
  <si>
    <t>GDPR accountability requires demonstrating consent; an unevidenced opt-in cohort is indefensible in an audit and toxic to deliverability if it originated from a purchased list.</t>
  </si>
  <si>
    <t>All email/SMS sends; compliance posture</t>
  </si>
  <si>
    <t>Provenance report per cohort; where Shopify holds the evidence, backfill source metadata; unevidenceable cohort → re-permission campaign proposal, not silent continued sending.</t>
  </si>
  <si>
    <t>Automated writeback (approved) + Manual (guided)</t>
  </si>
  <si>
    <t>Metadata backfill logged; re-permission is forward-only.</t>
  </si>
  <si>
    <t>CC-04</t>
  </si>
  <si>
    <t>Custom consents (GDPR) coverage</t>
  </si>
  <si>
    <t>Custom consent</t>
  </si>
  <si>
    <t>Configured custom consents enumerated; per-consent distribution of Confirmed/Withdrawn/Not-confirmed; workflows conditioned on consents with near-zero Confirmed populations.</t>
  </si>
  <si>
    <t>custom consents (Confirmed / Withdrawn / Not confirmed)</t>
  </si>
  <si>
    <t>checkout consent capture points</t>
  </si>
  <si>
    <t>Consent objects configured but unpopulated or unused</t>
  </si>
  <si>
    <t>RC-12, RC-01</t>
  </si>
  <si>
    <t>Profiling or third-party-data consents left unpopulated silently block (or should block) exactly the personalisation the tenant thinks is running.</t>
  </si>
  <si>
    <t>Consent-gated personalisation</t>
  </si>
  <si>
    <t>Map each configured consent to its capture point; wire missing capture (checkout, preference center); report honest reachable-audience per consent.</t>
  </si>
  <si>
    <t>Forward-only capture wiring.</t>
  </si>
  <si>
    <t>CC-05</t>
  </si>
  <si>
    <t>Opt-out propagation loop</t>
  </si>
  <si>
    <t>Recent Manago opt-outs/resignations reflected back into Shopify consent state (and vice versa); measure propagation lag; suppression parity for hard bounces and complaints.</t>
  </si>
  <si>
    <t>opt-out events, callbacks (triggers_optin_out)</t>
  </si>
  <si>
    <t>customers consent update API</t>
  </si>
  <si>
    <t>Unsubscribes don't propagate — the other system keeps 'consented'</t>
  </si>
  <si>
    <t>RC-01, RC-05, RC-07</t>
  </si>
  <si>
    <t>A customer who unsubscribed continues receiving via the other system's sends or future re-syncs; each occurrence is a complaint and a compliance mark.</t>
  </si>
  <si>
    <t>All sends from either system</t>
  </si>
  <si>
    <t>Wire Manago callbacks (opt-in/out triggers) → Shopify consent update; reverse direction via consent webhook; verify loop with test identities.</t>
  </si>
  <si>
    <t>Forward-only; propagation deliberately not reversible.</t>
  </si>
  <si>
    <t>CC-06</t>
  </si>
  <si>
    <t>Double opt-in state integrity</t>
  </si>
  <si>
    <t>Share stuck in Not-confirmed beyond confirmation-window norms; confirmation email deliverability on the DOI flow; DOI policy consistency across signup sources.</t>
  </si>
  <si>
    <t>contact state, subscription confirmation emails (v3 email/list types)</t>
  </si>
  <si>
    <t>signup sources</t>
  </si>
  <si>
    <t>DOI pipeline leaks — subscribers stall before confirmation</t>
  </si>
  <si>
    <t>RC-12, RC-15</t>
  </si>
  <si>
    <t>In DOI-mandatory markets the stuck cohort is legally unreachable; a broken confirmation email quietly caps list growth at the top of funnel.</t>
  </si>
  <si>
    <t>List growth, welcome flow entry</t>
  </si>
  <si>
    <t>Audit DOI flow per signup source; fix confirmation template/link; propose re-confirmation nudge for the recent stuck cohort.</t>
  </si>
  <si>
    <t>N/A — flow configuration.</t>
  </si>
  <si>
    <t>CC-07</t>
  </si>
  <si>
    <t>Sends-vs-consent violation scan</t>
  </si>
  <si>
    <t>Send log / Consent</t>
  </si>
  <si>
    <t>Retrospective sample: messages delivered to contacts whose state at send time was opt-out/blocked/Not-confirmed (as reconstructable); forward: automation entry conditions missing consent guards.</t>
  </si>
  <si>
    <t>sent messages history + contact state</t>
  </si>
  <si>
    <t>Evidence that consent is not actually enforced at send time</t>
  </si>
  <si>
    <t>RC-13, RC-12</t>
  </si>
  <si>
    <t>This is the difference between 'our consent data is messy' and 'we demonstrably message non-consented people' — the latter is the finding a DPO must act on immediately.</t>
  </si>
  <si>
    <t>All sends</t>
  </si>
  <si>
    <t>Immediate: add consent guards to automation entry conditions lacking them; investigate mechanism of any confirmed violation; document remediation for compliance file.</t>
  </si>
  <si>
    <t>N/A — configuration + investigation.</t>
  </si>
  <si>
    <t>CC-08</t>
  </si>
  <si>
    <t>Dead-state contacts in active journeys</t>
  </si>
  <si>
    <t>Contact / Automation</t>
  </si>
  <si>
    <t>Contacts in blocked/resigned/opt-out state currently sitting inside active workflow journeys or scheduled sends.</t>
  </si>
  <si>
    <t>workflow membership vs contact state</t>
  </si>
  <si>
    <t>Journeys retain members whose state should have ejected them</t>
  </si>
  <si>
    <t>RC-13, RC-05</t>
  </si>
  <si>
    <t>Depending on platform enforcement this is either wasted journey capacity or a live violation channel; either way journey analytics are polluted.</t>
  </si>
  <si>
    <t>All multi-step journeys</t>
  </si>
  <si>
    <t>Add state-based exit conditions to journeys; eject current dead-state members with approval; recheck after platform behaviour is confirmed.</t>
  </si>
  <si>
    <t>Ejection logs retained; re-entry possible via rules.</t>
  </si>
  <si>
    <t>CC-09</t>
  </si>
  <si>
    <t>Push consent coverage</t>
  </si>
  <si>
    <t>Web/Mobile push consent</t>
  </si>
  <si>
    <t>Web Push consent prompt configured and consent population &gt; 0 where push channel is claimed (v3 web/push/consent/list); mobile push token coverage where app exists.</t>
  </si>
  <si>
    <t>v3 webPush consent + templates; mobile push</t>
  </si>
  <si>
    <t>Push channel nominally available but consent base empty</t>
  </si>
  <si>
    <t>Workflows with push steps silently no-op for most of the base; channel-mix planning built on a fictional channel.</t>
  </si>
  <si>
    <t>Any push-step workflow</t>
  </si>
  <si>
    <t>Honest channel-reach report; consent prompt optimisation proposed as opportunity; push steps in blueprints gated on measured reach.</t>
  </si>
  <si>
    <t>CC-10</t>
  </si>
  <si>
    <t>Consented-but-unreachable audit</t>
  </si>
  <si>
    <t>Contacts consented per channel but missing the channel address (SMS consent w/o valid phone per CI-09; email consent with invalid email per CI-08); reachable-audience truth per channel.</t>
  </si>
  <si>
    <t>consent states + address fields</t>
  </si>
  <si>
    <t>customers phone/email</t>
  </si>
  <si>
    <t>Consent inventory overstates reachable audience</t>
  </si>
  <si>
    <t>RC-08, RC-02</t>
  </si>
  <si>
    <t>Campaign planning and revenue forecasts assume audiences that physically cannot be delivered to; expected-uplift math inherits the fiction.</t>
  </si>
  <si>
    <t>Channel planning, all forecasting</t>
  </si>
  <si>
    <t>Reachability matrix (consent × valid address) published as the planning truth; repair overlaps with CI-08/09 fixes.</t>
  </si>
  <si>
    <t>N/A — derived reporting.</t>
  </si>
  <si>
    <t>CC-11</t>
  </si>
  <si>
    <t>Deletion/erasure propagation</t>
  </si>
  <si>
    <t>GDPR deletion requests executed in one system reflected in the others (Manago deletion callbacks vs Shopify redaction webhooks vs ERP anonymisation); orphaned PII detection.</t>
  </si>
  <si>
    <t>callbacks (triggers_deletion)</t>
  </si>
  <si>
    <t>customers/redact, shop/redact webhooks</t>
  </si>
  <si>
    <t>ERP anonymisation log</t>
  </si>
  <si>
    <t>Erased-in-one, alive-in-another PII</t>
  </si>
  <si>
    <t>RC-01, RC-07</t>
  </si>
  <si>
    <t>An executed erasure request that leaves the person's PII live in a connected system is a direct GDPR breach with the request itself as evidence.</t>
  </si>
  <si>
    <t>Compliance posture; suppression integrity</t>
  </si>
  <si>
    <t>Wire deletion callback chain across systems; reconcile historical deletions (tombstone list comparison); Klints canonical layer keeps hashed tombstones only.</t>
  </si>
  <si>
    <t>Deletions irreversible by design; tombstones prevent resurrection via backfill.</t>
  </si>
  <si>
    <t>CC-12</t>
  </si>
  <si>
    <t>Consent age and re-permission surface</t>
  </si>
  <si>
    <t>Age distribution of consent timestamps; cohorts consented under superseded policy versions or beyond market-specific staleness norms.</t>
  </si>
  <si>
    <t>consent timestamps + policy version (if tracked)</t>
  </si>
  <si>
    <t>Consent base ageing beyond defensible freshness</t>
  </si>
  <si>
    <t>Not an acute violation but a decaying asset: old consent correlates with disengagement and weakens the compliance posture; better surfaced than discovered.</t>
  </si>
  <si>
    <t>Deliverability strategy</t>
  </si>
  <si>
    <t>Report cohort ages; re-permission / sunset policy proposed as strategy decision, never auto-executed.</t>
  </si>
  <si>
    <t>ME-01</t>
  </si>
  <si>
    <t>UTM hygiene on captured traffic</t>
  </si>
  <si>
    <t>Visit / UTM</t>
  </si>
  <si>
    <t>UTM parameter presence and vocabulary consistency on visit records (casing, source/medium taxonomy drift, self-referral pollution); coverage of paid traffic carrying UTMs at all.</t>
  </si>
  <si>
    <t>visit history (UTM fields)</t>
  </si>
  <si>
    <t>landing URLs</t>
  </si>
  <si>
    <t>Attribution vocabulary fragmented or absent</t>
  </si>
  <si>
    <t>RC-08, RC-06</t>
  </si>
  <si>
    <t>Source-based segments ('came from Meta') and channel ROI reads fragment across utm_source=facebook/Facebook/fb; paid-traffic workflows lose their trigger.</t>
  </si>
  <si>
    <t>Paid high-CAC activation, source-based segments</t>
  </si>
  <si>
    <t>UTM taxonomy contract (canonical vocabulary in config); normalisation view in Klints canonical layer; upstream tagging fixes at ad-platform level advised.</t>
  </si>
  <si>
    <t>Canonical-layer normalisation reversible.</t>
  </si>
  <si>
    <t>ME-02</t>
  </si>
  <si>
    <t>Workflow revenue attribution wiring</t>
  </si>
  <si>
    <t>Workflow / Conversion</t>
  </si>
  <si>
    <t>Active revenue-relevant automations have conversion measurement wired (PURCHASE linkage present in analytics); share of live workflows with zero measurable outcome path.</t>
  </si>
  <si>
    <t>workflow analytics; PURCHASE events (auto-analytics)</t>
  </si>
  <si>
    <t>Workflows run unmeasured — no outcome ever attributable</t>
  </si>
  <si>
    <t>Unmeasured workflows can't be improved or killed; the Klints impact loop (and the tenant's ROI story) needs this wiring as a precondition.</t>
  </si>
  <si>
    <t>Every revenue workflow; Klints learning loop</t>
  </si>
  <si>
    <t>Measurement plan per live workflow (conversion definition, window); wire missing linkage; Klints blueprints ship with measurement plans mandatory going forward.</t>
  </si>
  <si>
    <t>N/A — configuration.</t>
  </si>
  <si>
    <t>ME-03</t>
  </si>
  <si>
    <t>Shop domain consistency on events</t>
  </si>
  <si>
    <t>Event / Store</t>
  </si>
  <si>
    <t>shopDomain field on events consistent with the store registry (FD-06); events with missing/foreign shopDomain quantified per store.</t>
  </si>
  <si>
    <t>event shopDomain</t>
  </si>
  <si>
    <t>store domains</t>
  </si>
  <si>
    <t>Events not attributable to the right store</t>
  </si>
  <si>
    <t>RC-11, RC-02</t>
  </si>
  <si>
    <t>Multi-store tenants lose per-store revenue reads; store-scoped automations mis-trigger across markets.</t>
  </si>
  <si>
    <t>Multi-store reporting and flows</t>
  </si>
  <si>
    <t>Canonical store registry enforced at integration; historical missing values inferred from location field where unambiguous.</t>
  </si>
  <si>
    <t>Forward-only + canonical inference.</t>
  </si>
  <si>
    <t>ME-04</t>
  </si>
  <si>
    <t>Message engagement data flowing</t>
  </si>
  <si>
    <t>Send / Engagement</t>
  </si>
  <si>
    <t>Sent-messages history populated with opens/clicks per channel; per-channel gaps (e.g. SMS delivery receipts absent) enumerated.</t>
  </si>
  <si>
    <t>sent messages history; channel stats (v3 webpush/stats etc.)</t>
  </si>
  <si>
    <t>Engagement telemetry missing for some channels</t>
  </si>
  <si>
    <t>Engagement-recency segments and send-time logic go blind on the affected channel; A/B outcomes unreadable.</t>
  </si>
  <si>
    <t>Engagement-based segments, sunset policies</t>
  </si>
  <si>
    <t>Per-channel telemetry audit; fix tracking configuration (link wrapping, receipt callbacks); report honest coverage.</t>
  </si>
  <si>
    <t>Configuration change.</t>
  </si>
  <si>
    <t>ME-05</t>
  </si>
  <si>
    <t>Conversion deduplication rule</t>
  </si>
  <si>
    <t>Conversion</t>
  </si>
  <si>
    <t>Same order attributed as conversion to multiple workflows/campaigns without a documented precedence rule; overlap quantified on sampled orders.</t>
  </si>
  <si>
    <t>workflow conversion attribution</t>
  </si>
  <si>
    <t>orders (truth denominator)</t>
  </si>
  <si>
    <t>Sum of claimed workflow revenue exceeds real revenue</t>
  </si>
  <si>
    <t>RC-06, RC-13</t>
  </si>
  <si>
    <t>When attribution sums to 130% of revenue, finance stops believing all of it — including the workflows that genuinely perform.</t>
  </si>
  <si>
    <t>Reporting credibility; budget decisions</t>
  </si>
  <si>
    <t>Attribution precedence rule in Klints canonical layer (e.g. last-touch within window); platform-side settings aligned where configurable; report both raw and deduplicated.</t>
  </si>
  <si>
    <t>Canonical-layer rule; reversible.</t>
  </si>
  <si>
    <t>ME-06</t>
  </si>
  <si>
    <t>Timezone and clock consistency</t>
  </si>
  <si>
    <t>Timestamps</t>
  </si>
  <si>
    <t>Systematic timestamp offsets between systems on matched entities (order created vs event date); DST artifacts; tenant-timezone config verified.</t>
  </si>
  <si>
    <t>event date (UTC ms)</t>
  </si>
  <si>
    <t>orders.created_at (ISO, shop TZ)</t>
  </si>
  <si>
    <t>ERP document timestamps</t>
  </si>
  <si>
    <t>Systems disagree on when things happened</t>
  </si>
  <si>
    <t>RC-14</t>
  </si>
  <si>
    <t>Day-boundary metrics shift (daily revenue off by a few %), send-time optimisation trains on offset data, and reconciliation windows misalign at edges.</t>
  </si>
  <si>
    <t>Send-time logic, daily reporting, reconciliations</t>
  </si>
  <si>
    <t>Canonical layer normalises all timestamps to UTC with documented source offsets; no source-system rewrite.</t>
  </si>
  <si>
    <t>Canonical normalisation only.</t>
  </si>
  <si>
    <t>ME-07</t>
  </si>
  <si>
    <t>Revenue value presence on purchase events</t>
  </si>
  <si>
    <t>Share of PURCHASE events with value populated and &gt; 0; zero/null-value purchases quantified (they poison AOV and revenue analytics).</t>
  </si>
  <si>
    <t>orders.total_price</t>
  </si>
  <si>
    <t>Purchases recorded without monetary value</t>
  </si>
  <si>
    <t>Zero-value purchases drag AOV, make revenue-per-workflow undercount, and slip through value-threshold conditions.</t>
  </si>
  <si>
    <t>All value analytics</t>
  </si>
  <si>
    <t>Backfill values from matched orders via event update where externalId allows; integration validation (reject zero-value purchase emission unless genuinely free).</t>
  </si>
  <si>
    <t>Updates overwrite; prior in raw layer.</t>
  </si>
  <si>
    <t>ME-08</t>
  </si>
  <si>
    <t>Baseline computability for impact claims</t>
  </si>
  <si>
    <t>Analytics</t>
  </si>
  <si>
    <t>Sufficient clean history (post other fixes) to compute pre-period baselines for the workflows Klints will propose: revenue, repeat rate, AOV by segment with confidence bounds.</t>
  </si>
  <si>
    <t>reconciled event stream</t>
  </si>
  <si>
    <t>orders history</t>
  </si>
  <si>
    <t>ERP margin (for margin baselines)</t>
  </si>
  <si>
    <t>Impact claims would rest on uncomputable or noisy baselines</t>
  </si>
  <si>
    <t>Klints' credibility model is measured impact; proposing a workflow whose uplift can't be measured against a baseline breaks the learning loop and the sales narrative.</t>
  </si>
  <si>
    <t>Klints learning loop; every blueprint's expected-impact field</t>
  </si>
  <si>
    <t>Baseline coverage report per candidate workflow; where baseline is weak, blueprint impact stated as band with explicit confidence, never a point estimate.</t>
  </si>
  <si>
    <t>N/A — analytical.</t>
  </si>
  <si>
    <t>ME-09</t>
  </si>
  <si>
    <t>Email deliverability posture snapshot</t>
  </si>
  <si>
    <t>Send infrastructure</t>
  </si>
  <si>
    <t>Bounce/complaint rates by cohort, domain reputation signals as visible in platform stats; correlate with CI-06/CI-13 cohorts (imports, stale bases).</t>
  </si>
  <si>
    <t>send stats, bounce categories</t>
  </si>
  <si>
    <t>Deliverability already damaged before Klints proposes new sends</t>
  </si>
  <si>
    <t>Launching new lifecycle volume on a burned domain amplifies the damage; deliverability is a precondition, not a channel detail.</t>
  </si>
  <si>
    <t>Posture report; if damaged: warm-up and hygiene plan precedes any new-volume blueprint; sunset segment for chronic non-engagers.</t>
  </si>
  <si>
    <t>N/A — strategy.</t>
  </si>
  <si>
    <t>ME-10</t>
  </si>
  <si>
    <t>Test and internal traffic contamination</t>
  </si>
  <si>
    <t>Order / Event / Visit</t>
  </si>
  <si>
    <t>Test orders (Shopify test flag, staff emails, internal IPs, obvious QA patterns) present in event stream and analytics; contamination rate.</t>
  </si>
  <si>
    <t>events matching test heuristics</t>
  </si>
  <si>
    <t>orders.test, staff account emails</t>
  </si>
  <si>
    <t>QA and staff activity counted as customer behaviour</t>
  </si>
  <si>
    <t>RC-08, RC-12</t>
  </si>
  <si>
    <t>Small in volume but concentrated in exactly the recent windows used for trend reads; also triggers real automations at staff inboxes.</t>
  </si>
  <si>
    <t>Analytics trust, trigger hygiene</t>
  </si>
  <si>
    <t>Exclusion ruleset (test flag, domain list, IP list) in canonical layer + suppression tag in Manago; integration filters at source going forward.</t>
  </si>
  <si>
    <t>Suppression tags removable.</t>
  </si>
  <si>
    <t>BR-01</t>
  </si>
  <si>
    <t>Margin data coverage per product</t>
  </si>
  <si>
    <t>Product margin</t>
  </si>
  <si>
    <t>ERP vs Manago</t>
  </si>
  <si>
    <t>Share of active products with margin populated in the Manago catalog (v3 product/upsert margin field) and traceable to ERP cost data; margin-unknown share of revenue.</t>
  </si>
  <si>
    <t>catalog margin field</t>
  </si>
  <si>
    <t>products (no native margin)</t>
  </si>
  <si>
    <t>ERP cost / margin per item</t>
  </si>
  <si>
    <t>Margin unknown for a material share of assortment</t>
  </si>
  <si>
    <t>Margin-safe workflows (the ERP-aware differentiator) can only govern the products whose margin they know; coverage gap = governance gap.</t>
  </si>
  <si>
    <t>Margin-safe VIP, discount governance, upsell selection</t>
  </si>
  <si>
    <t>Margin feed ERP→Klints→catalog upsert (approved); products without cost data flagged margin-unknown and excluded from margin-conditioned logic by rule, not by accident.</t>
  </si>
  <si>
    <t>Margin field updatable; exclusion flags reversible.</t>
  </si>
  <si>
    <t>BR-02</t>
  </si>
  <si>
    <t>Inventory freshness SLA</t>
  </si>
  <si>
    <t>Inventory</t>
  </si>
  <si>
    <t>Timestamp lag of quantity data along the chain ERP→Shopify→Manago catalog; share of products whose marketing-visible stock is older than the agreed SLA (e.g. 24h).</t>
  </si>
  <si>
    <t>catalog quantity + update times</t>
  </si>
  <si>
    <t>inventory_levels.updated_at</t>
  </si>
  <si>
    <t>ERP stock snapshot time</t>
  </si>
  <si>
    <t>Marketing decisions ride on stale stock</t>
  </si>
  <si>
    <t>RC-05</t>
  </si>
  <si>
    <t>A replenishment email for an item that sold out yesterday converts intent into frustration; freshness is the difference between ERP-aware and ERP-flavoured.</t>
  </si>
  <si>
    <t>Sync cadence contract per chain link; updateQuantity wired to inventory webhooks or scheduled ERP delta; lag monitored as recurring drift check.</t>
  </si>
  <si>
    <t>Forward-only sync.</t>
  </si>
  <si>
    <t>BR-03</t>
  </si>
  <si>
    <t>Out-of-stock exposure in active surfaces</t>
  </si>
  <si>
    <t>Product / Campaign</t>
  </si>
  <si>
    <t>Products with zero/negative available stock currently present in recommendation frames, product collections, or scheduled campaign content.</t>
  </si>
  <si>
    <t>collections, recommendation config, catalog quantity</t>
  </si>
  <si>
    <t>inventory_levels</t>
  </si>
  <si>
    <t>ERP stock</t>
  </si>
  <si>
    <t>Sold-out items actively promoted</t>
  </si>
  <si>
    <t>Every OOS promotion click is a dead end; at campaign scale this is measurable conversion loss plus support load ('when will it be back?').</t>
  </si>
  <si>
    <t>Recommendations, campaigns, collections</t>
  </si>
  <si>
    <t>Availability gate rule: OOS items auto-excluded from active surfaces (flag-based via product/upsert availability flags); pre-flight check on campaign content as Klints QA rule.</t>
  </si>
  <si>
    <t>Availability flags reversible on restock.</t>
  </si>
  <si>
    <t>BR-04</t>
  </si>
  <si>
    <t>Discontinued / blocked item status parity</t>
  </si>
  <si>
    <t>Product status</t>
  </si>
  <si>
    <t>ERP item status (discontinued, blocked-for-sale, quality-hold) vs Shopify product status vs Manago availability flags; three-way status matrix.</t>
  </si>
  <si>
    <t>catalog availability flags</t>
  </si>
  <si>
    <t>products.status</t>
  </si>
  <si>
    <t>ERP item lifecycle status</t>
  </si>
  <si>
    <t>ERP says dead, marketing says buy</t>
  </si>
  <si>
    <t>Selling discontinued or blocked items creates unfulfillable orders — the costliest possible data inconsistency because it manufactures refunds and complaints.</t>
  </si>
  <si>
    <t>All product-promoting flows</t>
  </si>
  <si>
    <t>Status precedence: ERP status wins; propagation chain wired with alerts on divergence; one-time reconciliation sweep with per-item action list.</t>
  </si>
  <si>
    <t>Flag changes reversible; unfulfillable-order prevention is the point.</t>
  </si>
  <si>
    <t>BR-05</t>
  </si>
  <si>
    <t>Customer commercial status visibility</t>
  </si>
  <si>
    <t>Customer status</t>
  </si>
  <si>
    <t>ERP-side customer flags relevant to marketing (credit block, chronic returner, B2B terms, blacklist) mapped into Manago as governed details/tags; coverage vs ERP truth.</t>
  </si>
  <si>
    <t>klints_ commercial-status details</t>
  </si>
  <si>
    <t>customers (no native equivalent)</t>
  </si>
  <si>
    <t>ERP customer master flags</t>
  </si>
  <si>
    <t>Marketing blind to commercially sensitive customer states</t>
  </si>
  <si>
    <t>Offering a VIP discount to a credit-blocked account, or winning back a customer the business fired, is worse than no marketing; ERP truth must gate lifecycle logic.</t>
  </si>
  <si>
    <t>VIP, winback, discount governance</t>
  </si>
  <si>
    <t>Mapped status feed ERP→klints_ details (approved batch + recurring delta); workflows conditioned on these guards; sensitive semantics documented per flag.</t>
  </si>
  <si>
    <t>klints_ details removable in bulk.</t>
  </si>
  <si>
    <t>BR-06</t>
  </si>
  <si>
    <t>Fulfilment status parity for post-purchase logic</t>
  </si>
  <si>
    <t>Order fulfilment</t>
  </si>
  <si>
    <t>ERP vs Shopify</t>
  </si>
  <si>
    <t>Fulfilment/shipping status agreement on recent orders (ERP dispatch vs Shopify fulfillment); lag distribution; stuck-in-processing outliers.</t>
  </si>
  <si>
    <t>— (informs event semantics for post-purchase flows)</t>
  </si>
  <si>
    <t>orders.fulfillment_status, fulfillments</t>
  </si>
  <si>
    <t>ERP dispatch/delivery status</t>
  </si>
  <si>
    <t>Post-purchase communications keyed to wrong fulfilment truth</t>
  </si>
  <si>
    <t>'Your order is on its way' before it ships (or long after delivery) trains customers to ignore transactional-adjacent messaging — the highest-open channel there is.</t>
  </si>
  <si>
    <t>Post-purchase journey, review requests, replenishment start-clock</t>
  </si>
  <si>
    <t>Choose authoritative fulfilment source per tenant; lag SLA; replenishment clocks start from delivered-truth not order-date where available.</t>
  </si>
  <si>
    <t>Canonical precedence rule; reversible.</t>
  </si>
  <si>
    <t>BR-07</t>
  </si>
  <si>
    <t>Returns three-way reconciliation</t>
  </si>
  <si>
    <t>Refund / Credit note</t>
  </si>
  <si>
    <t>ERP credit notes vs Shopify refunds vs Manago RETURN events (post LE-09) — the full loop; unmatched items in any direction listed.</t>
  </si>
  <si>
    <t>RETURN events</t>
  </si>
  <si>
    <t>refunds</t>
  </si>
  <si>
    <t>Return truth differs by system even after the marketing pipe exists</t>
  </si>
  <si>
    <t>Finance-grade net revenue lives in ERP; if Shopify refunds diverge from credit notes, even a perfect LE-09 pipe propagates commerce-side error into marketing truth.</t>
  </si>
  <si>
    <t>Net-LTV logic, margin analytics, serial-returner detection</t>
  </si>
  <si>
    <t>Reconciliation report with unmatched lists per direction; commerce-vs-ERP divergences routed to merchant ops; Manago-side gaps routed to LE-09 machinery.</t>
  </si>
  <si>
    <t>N/A — routing check.</t>
  </si>
  <si>
    <t>BR-08</t>
  </si>
  <si>
    <t>Price list authority parity</t>
  </si>
  <si>
    <t>Price</t>
  </si>
  <si>
    <t>ERP price list vs Shopify live prices (base and promotional) for the active assortment; unauthorised-discount detection where ERP is pricing authority.</t>
  </si>
  <si>
    <t>— (catalog price parity handled in PT-05)</t>
  </si>
  <si>
    <t>ERP price list / promo calendar</t>
  </si>
  <si>
    <t>Commerce selling at prices ERP doesn't recognise</t>
  </si>
  <si>
    <t>RC-05, RC-08</t>
  </si>
  <si>
    <t>Margin calculations (BR-01) assume ERP prices; if the shop sells below list without ERP knowing, margin-safe logic is confidently wrong — worse than absent.</t>
  </si>
  <si>
    <t>Margin-safe flows, promo governance</t>
  </si>
  <si>
    <t>Divergence report to merchant ops; where promo calendar exists in ERP, wire it as the reference for expected divergences; unexplained gaps escalated.</t>
  </si>
  <si>
    <t>N/A — external-system truth.</t>
  </si>
  <si>
    <t>BR-09</t>
  </si>
  <si>
    <t>Replenishment input completeness</t>
  </si>
  <si>
    <t>Product consumption data</t>
  </si>
  <si>
    <t>For replenishment-eligible categories: product usage-cycle data (pack size, expected consumption days) present as catalog/detail inputs; coverage of the replenishment-candidate assortment.</t>
  </si>
  <si>
    <t>catalog details / klints_ consumption fields</t>
  </si>
  <si>
    <t>products (pack size in variants/options)</t>
  </si>
  <si>
    <t>ERP item master (pack, unit)</t>
  </si>
  <si>
    <t>Replenishment logic lacks its core timing input</t>
  </si>
  <si>
    <t>Without consumption-cycle data, replenishment reminders guess; guessed timing performs at a fraction of informed timing and erodes trust in the flow.</t>
  </si>
  <si>
    <t>Replenishment reminder</t>
  </si>
  <si>
    <t>Consumption model per category (from pack size + repurchase-interval statistics Klints can compute); write governed klints_ fields; category coverage report.</t>
  </si>
  <si>
    <t>klints_ fields removable.</t>
  </si>
  <si>
    <t>BR-10</t>
  </si>
  <si>
    <t>Multi-warehouse availability aggregation</t>
  </si>
  <si>
    <t>Where multiple warehouses/locations exist: aggregation rule producing the marketing-visible quantity verified (which locations count as sellable; transit stock; reserved stock).</t>
  </si>
  <si>
    <t>catalog quantity (single number)</t>
  </si>
  <si>
    <t>inventory_levels per location</t>
  </si>
  <si>
    <t>ERP per-warehouse stock</t>
  </si>
  <si>
    <t>Sellable quantity mis-derived from multi-location truth</t>
  </si>
  <si>
    <t>Counting a quarantine warehouse as sellable re-creates BR-03 with extra steps; excluding a live one suppresses sellable demand.</t>
  </si>
  <si>
    <t>Availability gating, back-in-stock</t>
  </si>
  <si>
    <t>Explicit sellable-locations rule per tenant in mapping config; aggregation recomputed and compared against current feed; fix the derivation.</t>
  </si>
  <si>
    <t>Config rule; reversible.</t>
  </si>
  <si>
    <t>BR-11</t>
  </si>
  <si>
    <t>Margin-safe rule computability</t>
  </si>
  <si>
    <t>Margin / Discount</t>
  </si>
  <si>
    <t>For discount-bearing workflows: margin (BR-01) + planned discount depth + shipping cost data jointly sufficient to compute post-discount contribution per product/segment.</t>
  </si>
  <si>
    <t>margin field + discount plans</t>
  </si>
  <si>
    <t>shipping rates (approx)</t>
  </si>
  <si>
    <t>ERP cost components</t>
  </si>
  <si>
    <t>Margin-safe gating claimed but not computable end-to-end</t>
  </si>
  <si>
    <t>The flagship ERP-aware promise must be computable, not aspirational — Klints must know before proposing a 20% VIP offer whether it destroys contribution on the target basket.</t>
  </si>
  <si>
    <t>Margin-safe VIP, all discount flows</t>
  </si>
  <si>
    <t>Computability audit per discount workflow candidate; missing components sourced (BR-01 feed, shipping table); workflows lacking computability shipped without discount depth claims.</t>
  </si>
  <si>
    <t>N/A — analytical gate.</t>
  </si>
  <si>
    <t>BR-12</t>
  </si>
  <si>
    <t>ERP sync freshness heartbeat</t>
  </si>
  <si>
    <t>ERP feed</t>
  </si>
  <si>
    <t>Last-successful-sync timestamp per ERP data domain (customers, items, stock, prices, credit notes) vs agreed cadence; silent-stall detection.</t>
  </si>
  <si>
    <t>— (feed metadata)</t>
  </si>
  <si>
    <t>ERP export schedule</t>
  </si>
  <si>
    <t>ERP feed silently stops while everything downstream keeps 'working'</t>
  </si>
  <si>
    <t>A stalled ERP feed degrades every BR check simultaneously and invisibly; the heartbeat converts silent decay into an alert.</t>
  </si>
  <si>
    <t>All BR-dependent workflows</t>
  </si>
  <si>
    <t>Heartbeat monitor per domain with staleness alert into DCS drift surface; BR sub-score annotated with data-age when stale.</t>
  </si>
  <si>
    <t>Root Cause Taxonomy</t>
  </si>
  <si>
    <t>Closed classifier — agents classify findings against this list; extensions are versioned, not improvised</t>
  </si>
  <si>
    <t>Every catalogue row's Root Causes column references these codes. A finding may carry multiple codes.</t>
  </si>
  <si>
    <t>Code</t>
  </si>
  <si>
    <t>Root Cause</t>
  </si>
  <si>
    <t>Definition</t>
  </si>
  <si>
    <t>Canonical Example</t>
  </si>
  <si>
    <t>Standard Remediation Pattern</t>
  </si>
  <si>
    <t>Integration gap</t>
  </si>
  <si>
    <t>Data exists in a source system but no pipe carries it to the consuming system.</t>
  </si>
  <si>
    <t>Returns exist in Shopify; Manago never receives RETURN events.</t>
  </si>
  <si>
    <t>Build the missing pipe; backfill common window with approval.</t>
  </si>
  <si>
    <t>RC-02</t>
  </si>
  <si>
    <t>Mapping error</t>
  </si>
  <si>
    <t>A pipe exists but maps the wrong field, wrong granularity, or wrong semantic.</t>
  </si>
  <si>
    <t>Event value mapped to subtotal in one era, total in another.</t>
  </si>
  <si>
    <t>Fix mapping config; correct or era-flag affected records.</t>
  </si>
  <si>
    <t>Guest / anonymous identity</t>
  </si>
  <si>
    <t>Commerce activity occurs without a durable identity the marketing platform can hold.</t>
  </si>
  <si>
    <t>Guest checkout orders with no customer account.</t>
  </si>
  <si>
    <t>Email-first contact creation; capture-point improvements as workflow opportunities.</t>
  </si>
  <si>
    <t>Duplicate creation</t>
  </si>
  <si>
    <t>Multiple entry points create parallel records for one real-world entity.</t>
  </si>
  <si>
    <t>Newsletter form + checkout + import each created a contact.</t>
  </si>
  <si>
    <t>Merge plan with survivor designation; unify entry-point keys.</t>
  </si>
  <si>
    <t>Sync lag / timing</t>
  </si>
  <si>
    <t>Pipes work but ordering, latency or scheduling produces stale or racing state.</t>
  </si>
  <si>
    <t>Stock updated in ERP daily, marketing reads a 3-day-old number.</t>
  </si>
  <si>
    <t>Cadence contract + freshness SLA + heartbeat monitoring.</t>
  </si>
  <si>
    <t>RC-06</t>
  </si>
  <si>
    <t>Schema / definition drift</t>
  </si>
  <si>
    <t>The meaning or shape of a field changed over time without migration.</t>
  </si>
  <si>
    <t>Segment built on a detail whose format changed last year.</t>
  </si>
  <si>
    <t>Format contract per key; era boundaries flagged in canonical layer.</t>
  </si>
  <si>
    <t>RC-07</t>
  </si>
  <si>
    <t>Consent flow divergence</t>
  </si>
  <si>
    <t>Consent capture, storage or propagation differs between systems.</t>
  </si>
  <si>
    <t>Opt-out in Manago never reaches Shopify's consent field.</t>
  </si>
  <si>
    <t>Source-of-truth policy per direction; propagation loop wired.</t>
  </si>
  <si>
    <t>Manual entry / import artifact</t>
  </si>
  <si>
    <t>Human-entered or bulk-imported data carrying format noise or junk.</t>
  </si>
  <si>
    <t>ALL-CAPS names, epoch birthdays, purchased-list contacts.</t>
  </si>
  <si>
    <t>Normalisation batches with approval; provenance cohort tagging.</t>
  </si>
  <si>
    <t>Historical migration gap</t>
  </si>
  <si>
    <t>The integration started at a point in time; earlier truth was never loaded.</t>
  </si>
  <si>
    <t>PURCHASE events begin 2024; orders begin 2019.</t>
  </si>
  <si>
    <t>Approved backfill within the FD-05 window; declare residual blind spots.</t>
  </si>
  <si>
    <t>RC-10</t>
  </si>
  <si>
    <t>Deleted / archived residue</t>
  </si>
  <si>
    <t>Entities removed in the source live on in downstream surfaces.</t>
  </si>
  <si>
    <t>Archived products still in recommendation collections.</t>
  </si>
  <si>
    <t>Residue sweep + delete/archive webhooks wired.</t>
  </si>
  <si>
    <t>Multi-store / multi-account ambiguity</t>
  </si>
  <si>
    <t>Data from parallel stores, locales or sub-accounts mixed or mis-scoped.</t>
  </si>
  <si>
    <t>Events without shopDomain in a three-store setup.</t>
  </si>
  <si>
    <t>Store/account registry (FD-06) enforced at every pipe.</t>
  </si>
  <si>
    <t>Configuration error</t>
  </si>
  <si>
    <t>Tracking code, feed config, scopes or platform settings wrong or absent.</t>
  </si>
  <si>
    <t>Monitoring code missing on one storefront domain.</t>
  </si>
  <si>
    <t>Configuration audit + guided repair + verification test.</t>
  </si>
  <si>
    <t>API contract violation / type misuse</t>
  </si>
  <si>
    <t>Integration uses the platform API outside its documented semantics.</t>
  </si>
  <si>
    <t>PURCHASE type used for reservations; event type changed post-hoc.</t>
  </si>
  <si>
    <t>Vocabulary contract; integration re-routing; never mutate types.</t>
  </si>
  <si>
    <t>Format / unit / timezone inconsistency</t>
  </si>
  <si>
    <t>Same fact encoded differently: units, currency basis, TZ, date format.</t>
  </si>
  <si>
    <t>Event dates in seconds instead of milliseconds (1970 artifacts).</t>
  </si>
  <si>
    <t>Canonical normalisation rules; unit validation at ingestion.</t>
  </si>
  <si>
    <t>Volume loss</t>
  </si>
  <si>
    <t>Records dropped by rate limits, retry expiry, or partial failures.</t>
  </si>
  <si>
    <t>Events for not-yet-existing contacts expire after 1h retry window.</t>
  </si>
  <si>
    <t>Ordering fixes, idempotent retries, gap-list recovery.</t>
  </si>
  <si>
    <t>Coverage Matrix — Entity × Check Type</t>
  </si>
  <si>
    <t>Completeness proof: every intersection either carries Check IDs or an explicit n/a with reason</t>
  </si>
  <si>
    <t>Read a row to see how completely an entity is inspected; read a column to audit a check-type across the model.</t>
  </si>
  <si>
    <t>Connection / credentials  ·  single-purpose gate entity; all other types n/a — no business data on this entity</t>
  </si>
  <si>
    <t>n/a — —</t>
  </si>
  <si>
    <t>FD-01, FD-02, FD-03, FD-04, FD-05, FD-06, FD-07, FD-08</t>
  </si>
  <si>
    <t>Contact / Customer identity</t>
  </si>
  <si>
    <t>CI-08, CI-09, CI-12</t>
  </si>
  <si>
    <t>CI-03, CI-04</t>
  </si>
  <si>
    <t>CI-01, CI-06, CI-07, CI-10, CI-11</t>
  </si>
  <si>
    <t>covered on Consent entity (CC-01…12)</t>
  </si>
  <si>
    <t>SP-11 (identity+properties)</t>
  </si>
  <si>
    <t>CI-13, CI-14</t>
  </si>
  <si>
    <t>External Event (PURCHASE/CART/RETURN…)</t>
  </si>
  <si>
    <t>LE-06, LE-10</t>
  </si>
  <si>
    <t>LE-03, LE-15, ME-07</t>
  </si>
  <si>
    <t>LE-12, PT-01, PT-02</t>
  </si>
  <si>
    <t>LE-01, LE-02, LE-05, LE-07, LE-09, LE-14</t>
  </si>
  <si>
    <t>n/a — events carry no consent semantics; consent checked on Consent entity</t>
  </si>
  <si>
    <t>n/a — single-record events; cross-field logic lives on Contact (SP-11)</t>
  </si>
  <si>
    <t>LE-11, LE-13, PT-14</t>
  </si>
  <si>
    <t>Order (commerce truth)</t>
  </si>
  <si>
    <t>PT-07, PT-08, ME-10</t>
  </si>
  <si>
    <t>n/a — order existence is the Shopify source itself; absence checked as event gap LE-05</t>
  </si>
  <si>
    <t>n/a — orders are immutable facts; fulfilment freshness under BR-06</t>
  </si>
  <si>
    <t>n/a — Shopify enforces order ID uniqueness natively</t>
  </si>
  <si>
    <t>LE-03 (order↔event key)</t>
  </si>
  <si>
    <t>PT-15, BR-06, BR-07</t>
  </si>
  <si>
    <t>n/a — no consent semantics on orders</t>
  </si>
  <si>
    <t>n/a — intra-order math is Shopify-enforced; composition rule covered by PT-08</t>
  </si>
  <si>
    <t>PT-14 (shared with events)</t>
  </si>
  <si>
    <t>Product / Catalog</t>
  </si>
  <si>
    <t>PT-11, BR-01, BR-09</t>
  </si>
  <si>
    <t>BR-02, PT-05 (price staleness)</t>
  </si>
  <si>
    <t>n/a — catalog keyed on productId+location; duplicates manifest as PT-01/PT-09 findings</t>
  </si>
  <si>
    <t>PT-01, PT-02, PT-10</t>
  </si>
  <si>
    <t>PT-03, PT-05, PT-06, BR-04, BR-08</t>
  </si>
  <si>
    <t>n/a — no consent semantics on products</t>
  </si>
  <si>
    <t>BR-03, BR-11</t>
  </si>
  <si>
    <t>n/a — no statistical class defined in v1; drift covered by recurring reconciliations</t>
  </si>
  <si>
    <t>Tag / Detail / Key Information / Segment</t>
  </si>
  <si>
    <t>SP-03, SP-04, SP-05</t>
  </si>
  <si>
    <t>SP-06, SP-13</t>
  </si>
  <si>
    <t>SP-01, SP-07</t>
  </si>
  <si>
    <t>n/a — properties are Manago-native; source parity enters via SP-13 mapping coverage</t>
  </si>
  <si>
    <t>n/a — consent stored as consent objects, not details — see Consent entity</t>
  </si>
  <si>
    <t>Funnel / RFM / Loyalty state</t>
  </si>
  <si>
    <t>n/a — platform-computed structures; format is platform-enforced</t>
  </si>
  <si>
    <t>SP-09, SP-10</t>
  </si>
  <si>
    <t>n/a — recomputation cadence is platform-internal; staleness manifests in SP-10/SP-14 findings</t>
  </si>
  <si>
    <t>n/a — platform-enforced single assignment</t>
  </si>
  <si>
    <t>n/a — platform-internal</t>
  </si>
  <si>
    <t>n/a — no consent semantics</t>
  </si>
  <si>
    <t>SP-11 (tier vs spend)</t>
  </si>
  <si>
    <t>n/a — v1 relies on deterministic recomputation instead</t>
  </si>
  <si>
    <t>Consent (email/SMS/custom/erasure)</t>
  </si>
  <si>
    <t>n/a — consent states are enumerated platform values; domain enforced natively</t>
  </si>
  <si>
    <t>CC-03, CC-04, CC-09</t>
  </si>
  <si>
    <t>n/a — one consent object per channel per contact, platform-enforced</t>
  </si>
  <si>
    <t>CC-08 (state vs journey membership)</t>
  </si>
  <si>
    <t>CC-01, CC-02, CC-05, CC-11</t>
  </si>
  <si>
    <t>CC-06, CC-07</t>
  </si>
  <si>
    <t>n/a — state distribution anomalies covered under CI-13</t>
  </si>
  <si>
    <t>n/a — code format platform-enforced</t>
  </si>
  <si>
    <t>n/a — issuance is intentional, not a coverage target</t>
  </si>
  <si>
    <t>PT-13 (expiry parity)</t>
  </si>
  <si>
    <t>n/a — code uniqueness Shopify-enforced</t>
  </si>
  <si>
    <t>PT-13 (issued↔valid↔redeemed loop)</t>
  </si>
  <si>
    <t>n/a — covered inside PT-13 loop</t>
  </si>
  <si>
    <t>n/a — v1: redemption anomalies deferred to learning loop</t>
  </si>
  <si>
    <t>Visit / UTM / Engagement telemetry</t>
  </si>
  <si>
    <t>ME-01, ME-03</t>
  </si>
  <si>
    <t>LE-15, ME-04</t>
  </si>
  <si>
    <t>n/a — telemetry is a stream; absence/lag covered by presence + FD-07</t>
  </si>
  <si>
    <t>ME-05 (conversion dedup)</t>
  </si>
  <si>
    <t>n/a — visit↔contact linkage measured as CI-14 match rate</t>
  </si>
  <si>
    <t>n/a — no external counterpart in v1 stack (GA4 connector is post-MVP1)</t>
  </si>
  <si>
    <t>n/a — tracker consent-mode covered under CC-04 capture wiring</t>
  </si>
  <si>
    <t>ME-08, ME-09</t>
  </si>
  <si>
    <t>Workflow / Automation inventory</t>
  </si>
  <si>
    <t>n/a — workflow definitions are platform objects; Klints reads, never lints platform internals in v1</t>
  </si>
  <si>
    <t>ME-02 (measurement wiring)</t>
  </si>
  <si>
    <t>SP-12 (condition-field freshness)</t>
  </si>
  <si>
    <t>SP-02 (dead-end conditions), CC-08</t>
  </si>
  <si>
    <t>n/a — no counterpart system</t>
  </si>
  <si>
    <t>CC-07 (entry guards)</t>
  </si>
  <si>
    <t>n/a — performance anomalies belong to the learning loop, not the DCS</t>
  </si>
  <si>
    <t>ERP domain (margin/stock/status/credit notes)</t>
  </si>
  <si>
    <t>BR-01, BR-05, BR-09</t>
  </si>
  <si>
    <t>BR-02, BR-12</t>
  </si>
  <si>
    <t>n/a — ERP-internal key discipline out of Klints scope</t>
  </si>
  <si>
    <t>CI-16 (customer join)</t>
  </si>
  <si>
    <t>BR-04, BR-06, BR-07, BR-08, PT-06, PT-15</t>
  </si>
  <si>
    <t>CC-11 (erasure propagation)</t>
  </si>
  <si>
    <t>n/a — v1: ERP-side anomalies surface via freshness heartbeat BR-12</t>
  </si>
  <si>
    <t>Timestamps / cross-cutting</t>
  </si>
  <si>
    <t>ME-06, LE-06</t>
  </si>
  <si>
    <t>n/a — covered per-entity</t>
  </si>
  <si>
    <t>Initial Connect Runbook</t>
  </si>
  <si>
    <t>Phase-ordered sweep for the onboarding data consistency check · agent execution contract</t>
  </si>
  <si>
    <t>Phases run in order; a failed gate stops or scopes the sweep. Expect the initial sweep to surface materially more findings than steady-state operation — plan the fix queue accordingly.</t>
  </si>
  <si>
    <t>Phase</t>
  </si>
  <si>
    <t>Name</t>
  </si>
  <si>
    <t>Check IDs</t>
  </si>
  <si>
    <t>What runs</t>
  </si>
  <si>
    <t>Sequencing &amp; gating rules</t>
  </si>
  <si>
    <t>Output artifact</t>
  </si>
  <si>
    <t>0</t>
  </si>
  <si>
    <t>Connectivity &amp; scoping gate</t>
  </si>
  <si>
    <t>FD-01 … FD-08</t>
  </si>
  <si>
    <t>Authenticate all connectors, verify scopes, measure rate budget, map account topology and history depth, confirm tracking code.</t>
  </si>
  <si>
    <t>Hard gate. No scoring on a failed or partial gate — emit 'sweep incomplete'. FD-03 failure degrades gracefully: BR dimension flagged 'not connected'.</t>
  </si>
  <si>
    <t>Sweep metadata record (history windows, account map, rate budget).</t>
  </si>
  <si>
    <t>1</t>
  </si>
  <si>
    <t>Entity counts — coarse reconciliation</t>
  </si>
  <si>
    <t>CI-01, PT-03, LE-01 (aggregate pass)</t>
  </si>
  <si>
    <t>Cheap aggregate counts across systems to size the problem before expensive row-level work.</t>
  </si>
  <si>
    <t>Orders full sweep by month; contacts and products full count. Deviations here prioritise which row-level diffs run first.</t>
  </si>
  <si>
    <t>Deviation map per entity per month.</t>
  </si>
  <si>
    <t>2</t>
  </si>
  <si>
    <t>Identity resolution</t>
  </si>
  <si>
    <t>CI-02 … CI-16</t>
  </si>
  <si>
    <t>Row-level identity: linkage keys, duplicates, guest share, format validity, ERP join.</t>
  </si>
  <si>
    <t>CI-05 (external ID linkage) runs before all row-level cross-system checks — it is their join spine. CI-03 merge plans queue for approval; nothing merges inside the sweep.</t>
  </si>
  <si>
    <t>Identity link table + duplicate clusters + classified gap cohorts.</t>
  </si>
  <si>
    <t>3</t>
  </si>
  <si>
    <t>Transaction &amp; event integrity</t>
  </si>
  <si>
    <t>LE-01 … LE-15</t>
  </si>
  <si>
    <t>Order↔event parity, gap lists, duplicates, timestamps, carts, returns, historical depth.</t>
  </si>
  <si>
    <t>Runs on the Phase-2 link table. LE-05 gap list is the backfill workplan; LE-09 returns pipe is typically the single highest-impact finding at initial connect.</t>
  </si>
  <si>
    <t>Order-level gap/duplicate lists + backfill batches (pending approval).</t>
  </si>
  <si>
    <t>4</t>
  </si>
  <si>
    <t>Consent &amp; channel compliance</t>
  </si>
  <si>
    <t>CC-01 … CC-12</t>
  </si>
  <si>
    <t>Consent parity quadrants, provenance, propagation loop, violation scan, reachability.</t>
  </si>
  <si>
    <t>Compliance findings outrank revenue findings in the fix queue by default. Opt-out propagation (CC-05) is repaired before any backfill writes consent fields (CI-07 dependency).</t>
  </si>
  <si>
    <t>Consent quadrant matrix + compliance findings + reachability truth.</t>
  </si>
  <si>
    <t>5</t>
  </si>
  <si>
    <t>Product, catalog &amp; pricing</t>
  </si>
  <si>
    <t>PT-01 … PT-11, PT-13</t>
  </si>
  <si>
    <t>Catalog completeness, ID conventions, price/stock parity, residue, coupon loop.</t>
  </si>
  <si>
    <t>PT-09 (ID convention) resolves before PT-01 dangling-ID counts are final — convention mismatch masquerades as missing products.</t>
  </si>
  <si>
    <t>Catalog reconciliation plan + convention decision record.</t>
  </si>
  <si>
    <t>6</t>
  </si>
  <si>
    <t>Segments, properties &amp; platform state</t>
  </si>
  <si>
    <t>SP-01 … SP-14, PT-12</t>
  </si>
  <si>
    <t>Tag hygiene, detail formats, namespace, segment sanity, RFM coverage, contradictions.</t>
  </si>
  <si>
    <t>SP-07 (klints_ namespace) is a writeback gate: no Klints write anywhere until the namespace is verified clean.</t>
  </si>
  <si>
    <t>Property normalisation batches (pending approval) + segment repair list.</t>
  </si>
  <si>
    <t>7</t>
  </si>
  <si>
    <t>Measurement readiness</t>
  </si>
  <si>
    <t>ME-01 … ME-10</t>
  </si>
  <si>
    <t>Attribution wiring, UTM hygiene, dedup rule, baselines, deliverability posture.</t>
  </si>
  <si>
    <t>ME-08 baseline computability feeds every future blueprint's expected-impact field — it closes the loop to the Use Case Library.</t>
  </si>
  <si>
    <t>Measurement readiness report per workflow candidate.</t>
  </si>
  <si>
    <t>8</t>
  </si>
  <si>
    <t>Business reality (ERP truth)</t>
  </si>
  <si>
    <t>BR-01 … BR-12, PT-15</t>
  </si>
  <si>
    <t>Margin coverage, stock freshness, OOS exposure, status parity, margin-safe computability.</t>
  </si>
  <si>
    <t>Runs only if FD-03 passed; otherwise dimension reported 'not connected' — never silently zero. BR-03/BR-04 findings can trigger immediate advisory alerts (actively promoted dead items).</t>
  </si>
  <si>
    <t>ERP governance findings + margin/stock coverage truth.</t>
  </si>
  <si>
    <t>9</t>
  </si>
  <si>
    <t>Score assembly &amp; fix queue</t>
  </si>
  <si>
    <t>— (synthesis)</t>
  </si>
  <si>
    <t>Compute sub-scores and headline DCS, rank issues by severity × workflow value, assemble Data Fix Blueprints for MVP1-templated classes.</t>
  </si>
  <si>
    <t>Confidence attached per issue. The score gates the brain: below-threshold dimensions route to fix blueprints before any workflow blueprint is proposed. Approval queue ordered: compliance → revenue-critical pipes → precision → hygiene.</t>
  </si>
  <si>
    <t>DCS report + ranked issue list + fix blueprint queue (pending approval).</t>
  </si>
  <si>
    <t>Field Mapping Reference</t>
  </si>
  <si>
    <t>Canonical entity → platform surfaces · the neutrality layer</t>
  </si>
  <si>
    <t>Check logic binds to the canonical column only. Adding Magento 2 / WooCommerce later = adding a mapping column, not rewriting checks. ERP column is intentionally generic (CSV/API-agnostic).</t>
  </si>
  <si>
    <t>Domain</t>
  </si>
  <si>
    <t>Canonical field (klints model)</t>
  </si>
  <si>
    <t>Manago surface</t>
  </si>
  <si>
    <t>Shopify surface</t>
  </si>
  <si>
    <t>ERP surface (generic)</t>
  </si>
  <si>
    <t>Governing rule / check</t>
  </si>
  <si>
    <t>Identity</t>
  </si>
  <si>
    <t>person.email (primary)</t>
  </si>
  <si>
    <t>contact email (primary key)</t>
  </si>
  <si>
    <t>customer email</t>
  </si>
  <si>
    <t>Normalised lowercase; primary join key of last resort.</t>
  </si>
  <si>
    <t>person.external_key</t>
  </si>
  <si>
    <t>ERP customer number</t>
  </si>
  <si>
    <t>Preferred join spine (CI-05); bijective.</t>
  </si>
  <si>
    <t>person.phone</t>
  </si>
  <si>
    <t>customer phone</t>
  </si>
  <si>
    <t>E.164 canonical form.</t>
  </si>
  <si>
    <t>person.name</t>
  </si>
  <si>
    <t>first_name + last_name</t>
  </si>
  <si>
    <t>customer name</t>
  </si>
  <si>
    <t>Casing normalised; placeholders blanked.</t>
  </si>
  <si>
    <t>person.address.country</t>
  </si>
  <si>
    <t>contact address (country)</t>
  </si>
  <si>
    <t>default_address.country_code</t>
  </si>
  <si>
    <t>customer master country</t>
  </si>
  <si>
    <t>ISO-3166 alpha-2; precedence ERP &gt; commerce &gt; MA.</t>
  </si>
  <si>
    <t>person.birthday</t>
  </si>
  <si>
    <t>metafield (if used)</t>
  </si>
  <si>
    <t>Plausibility 13–100y; epoch artifacts blanked.</t>
  </si>
  <si>
    <t>person.created_at / modified</t>
  </si>
  <si>
    <t>createdOn / modifiedOn</t>
  </si>
  <si>
    <t>customers.created_at / updated_at</t>
  </si>
  <si>
    <t>record dates</t>
  </si>
  <si>
    <t>Freshness inputs (CI-15).</t>
  </si>
  <si>
    <t>Transaction</t>
  </si>
  <si>
    <t>order.id</t>
  </si>
  <si>
    <t>ERP order/document no.</t>
  </si>
  <si>
    <t>The reconciliation key (LE-03).</t>
  </si>
  <si>
    <t>order.purchase_event</t>
  </si>
  <si>
    <t>External Event PURCHASE</t>
  </si>
  <si>
    <t>orders (paid, non-test)</t>
  </si>
  <si>
    <t>ERP sales document</t>
  </si>
  <si>
    <t>1:1 order↔event contract (LE-01/05).</t>
  </si>
  <si>
    <t>order.value_net</t>
  </si>
  <si>
    <t>total_price / subtotal (rule PT-08)</t>
  </si>
  <si>
    <t>document net value</t>
  </si>
  <si>
    <t>One documented composition rule; base currency (PT-07).</t>
  </si>
  <si>
    <t>order.return_event</t>
  </si>
  <si>
    <t>External Event RETURN / CANCELLATION</t>
  </si>
  <si>
    <t>refunds / cancelled_at</t>
  </si>
  <si>
    <t>credit notes</t>
  </si>
  <si>
    <t>The LE-09 pipe; value = refund amount.</t>
  </si>
  <si>
    <t>cart.event</t>
  </si>
  <si>
    <t>External Event CART (eventId reused)</t>
  </si>
  <si>
    <t>Updated on completion; update ≠ upsert (resend all fields).</t>
  </si>
  <si>
    <t>contact.net_ltv</t>
  </si>
  <si>
    <t>klints_net_ltv detail (governed)</t>
  </si>
  <si>
    <t>computed: orders − refunds</t>
  </si>
  <si>
    <t>credit-note-adjusted</t>
  </si>
  <si>
    <t>Klints-governed value; workflows point here (PT-04).</t>
  </si>
  <si>
    <t>product.key</t>
  </si>
  <si>
    <t>catalog productId (convention PT-09)</t>
  </si>
  <si>
    <t>variants.id (recommended) / products.id</t>
  </si>
  <si>
    <t>One convention; rollup in canonical model.</t>
  </si>
  <si>
    <t>product.store_scope</t>
  </si>
  <si>
    <t>location (charset rules)</t>
  </si>
  <si>
    <t>store domain</t>
  </si>
  <si>
    <t>Registry-driven (FD-06, PT-02).</t>
  </si>
  <si>
    <t>product.price</t>
  </si>
  <si>
    <t>catalog price / discountPrice</t>
  </si>
  <si>
    <t>updatePrice pipe; parity PT-05 / BR-08.</t>
  </si>
  <si>
    <t>product.stock_sellable</t>
  </si>
  <si>
    <t>catalog quantity</t>
  </si>
  <si>
    <t>per-warehouse stock</t>
  </si>
  <si>
    <t>Sellable-locations rule BR-10; freshness SLA BR-02.</t>
  </si>
  <si>
    <t>product.margin</t>
  </si>
  <si>
    <t>— (not native)</t>
  </si>
  <si>
    <t>ERP cost/margin</t>
  </si>
  <si>
    <t>BR-01 feed; margin-unknown excluded by rule.</t>
  </si>
  <si>
    <t>product.lifecycle_status</t>
  </si>
  <si>
    <t>availability flags</t>
  </si>
  <si>
    <t>ERP item status</t>
  </si>
  <si>
    <t>ERP wins (BR-04).</t>
  </si>
  <si>
    <t>product.attributes</t>
  </si>
  <si>
    <t>catalog category/brand/image/url</t>
  </si>
  <si>
    <t>product_type, vendor, images, handle</t>
  </si>
  <si>
    <t>item attributes</t>
  </si>
  <si>
    <t>Minimum attribute contract (PT-11).</t>
  </si>
  <si>
    <t>consent.email</t>
  </si>
  <si>
    <t>email marketing status + reason/source</t>
  </si>
  <si>
    <t>email_marketing_consent (state, level, updated_at)</t>
  </si>
  <si>
    <t>Quadrant parity CC-01; opt-outs propagate everywhere.</t>
  </si>
  <si>
    <t>consent.sms</t>
  </si>
  <si>
    <t>mobile marketing status</t>
  </si>
  <si>
    <t>sms_marketing_consent</t>
  </si>
  <si>
    <t>CC-02; joint check with phone validity.</t>
  </si>
  <si>
    <t>consent.custom[]</t>
  </si>
  <si>
    <t>custom consents (3 states)</t>
  </si>
  <si>
    <t>checkout/preference capture points</t>
  </si>
  <si>
    <t>Capture wiring CC-04.</t>
  </si>
  <si>
    <t>consent.erasure</t>
  </si>
  <si>
    <t>deletion callbacks</t>
  </si>
  <si>
    <t>customers/redact webhooks</t>
  </si>
  <si>
    <t>anonymisation log</t>
  </si>
  <si>
    <t>Tombstone chain CC-11; hashed tombstones only in Klints.</t>
  </si>
  <si>
    <t>Properties</t>
  </si>
  <si>
    <t>person.tags[]</t>
  </si>
  <si>
    <t>tags (klints: namespace for Klints writes)</t>
  </si>
  <si>
    <t>customers.tags (source, SP-13)</t>
  </si>
  <si>
    <t>Canonical tag map (SP-01); namespace gate SP-07.</t>
  </si>
  <si>
    <t>person.details{}</t>
  </si>
  <si>
    <t>standard + dictionary details; date. prefix</t>
  </si>
  <si>
    <t>metafields / note_attributes</t>
  </si>
  <si>
    <t>mapped subset</t>
  </si>
  <si>
    <t>Per-key format contract (SP-03/04/05).</t>
  </si>
  <si>
    <t>person.preferences</t>
  </si>
  <si>
    <t>Key Information (v3)</t>
  </si>
  <si>
    <t>Zero-party layer; coverage SP-06.</t>
  </si>
  <si>
    <t>Behavioural</t>
  </si>
  <si>
    <t>person.visits[]</t>
  </si>
  <si>
    <t>visit history (URL/UTM/scoring)</t>
  </si>
  <si>
    <t>storefront via monitoring code</t>
  </si>
  <si>
    <t>FD-07 gate; match rate CI-14.</t>
  </si>
  <si>
    <t>person.engagement</t>
  </si>
  <si>
    <t>sent messages history + channel stats</t>
  </si>
  <si>
    <t>Telemetry coverage ME-04.</t>
  </si>
  <si>
    <t>ERP truth</t>
  </si>
  <si>
    <t>customer.commercial_status</t>
  </si>
  <si>
    <t>klints_ status details (governed)</t>
  </si>
  <si>
    <t>credit block / returner / B2B flags</t>
  </si>
  <si>
    <t>Guards for VIP/winback (BR-05).</t>
  </si>
  <si>
    <t>order.fulfilment</t>
  </si>
  <si>
    <t>— (informs flow timing)</t>
  </si>
  <si>
    <t>fulfillment_status / fulfillments</t>
  </si>
  <si>
    <t>dispatch/delivery status</t>
  </si>
  <si>
    <t>Authoritative source per tenant (BR-06).</t>
  </si>
  <si>
    <t>Measurement</t>
  </si>
  <si>
    <t>traffic.utm</t>
  </si>
  <si>
    <t>visit UTM fields</t>
  </si>
  <si>
    <t>Canonical UTM vocabulary (ME-01).</t>
  </si>
  <si>
    <t>conversion.attribution</t>
  </si>
  <si>
    <t>workflow conversion linkage</t>
  </si>
  <si>
    <t>orders (denominator)</t>
  </si>
  <si>
    <t>Dedup precedence rule (ME-05); wiring ME-02.</t>
  </si>
  <si>
    <t>DCS Scoring Model</t>
  </si>
  <si>
    <t>Authoritative 0–100 scoring contract; gates, coverage and confidence are separate signals</t>
  </si>
  <si>
    <t>Klints · MVP1 build contract · v1.4.1 · 18 July 2026</t>
  </si>
  <si>
    <t>Headline Weight %</t>
  </si>
  <si>
    <t>Required</t>
  </si>
  <si>
    <t>Purpose</t>
  </si>
  <si>
    <t>Rule</t>
  </si>
  <si>
    <t>Identity match, duplicates, customer-universe integrity</t>
  </si>
  <si>
    <t>Must reach ≥80% coverage</t>
  </si>
  <si>
    <t>Purchase/cart/return completeness and timeliness</t>
  </si>
  <si>
    <t>Product resolution and transaction truth</t>
  </si>
  <si>
    <t>Decision-field schema, namespace and population sanity</t>
  </si>
  <si>
    <t>Consent truth and propagation</t>
  </si>
  <si>
    <t>Attribution and baseline computability</t>
  </si>
  <si>
    <t>ERP margin/inventory truth; optional only when ERP is formally out of scope</t>
  </si>
  <si>
    <t>May be NOT_CONNECTED only by declared tenant scope</t>
  </si>
  <si>
    <t>Result status</t>
  </si>
  <si>
    <t>Score factor</t>
  </si>
  <si>
    <t>Meaning</t>
  </si>
  <si>
    <t>PASS</t>
  </si>
  <si>
    <t>Evaluated and meets threshold</t>
  </si>
  <si>
    <t>WARN</t>
  </si>
  <si>
    <t>Evaluated; partial degradation</t>
  </si>
  <si>
    <t>FAIL</t>
  </si>
  <si>
    <t>Evaluated and fails threshold</t>
  </si>
  <si>
    <t>NOT_APPLICABLE</t>
  </si>
  <si>
    <t>Excluded from denominator with reason</t>
  </si>
  <si>
    <t>NOT_CONNECTED</t>
  </si>
  <si>
    <t>Excluded only for formally out-of-scope optional dimension</t>
  </si>
  <si>
    <t>UNKNOWN</t>
  </si>
  <si>
    <t>Not evaluated; lowers coverage and blocks final score when coverage &lt;80%</t>
  </si>
  <si>
    <t>Confidence</t>
  </si>
  <si>
    <t>Numeric factor</t>
  </si>
  <si>
    <t>Use</t>
  </si>
  <si>
    <t>HIGH</t>
  </si>
  <si>
    <t>Deterministic evidence from authoritative source</t>
  </si>
  <si>
    <t>MEDIUM</t>
  </si>
  <si>
    <t>Partial evidence or bounded inference</t>
  </si>
  <si>
    <t>LOW</t>
  </si>
  <si>
    <t>Weak/indirect evidence; recommendation becomes INVESTIGATE</t>
  </si>
  <si>
    <t>Final state</t>
  </si>
  <si>
    <t>Condition</t>
  </si>
  <si>
    <t>Effect</t>
  </si>
  <si>
    <t>BLOCKED</t>
  </si>
  <si>
    <t>Any blocking Foundation Gate fails</t>
  </si>
  <si>
    <t>No DCS published; no workflow recommendation</t>
  </si>
  <si>
    <t>INCOMPLETE</t>
  </si>
  <si>
    <t>Any required dimension coverage &lt;80% or sweep incomplete</t>
  </si>
  <si>
    <t>Provisional sub-scores only</t>
  </si>
  <si>
    <t>READY</t>
  </si>
  <si>
    <t>DCS ≥90 and all hard gates pass</t>
  </si>
  <si>
    <t>Activation may proceed subject to workflow-specific gates</t>
  </si>
  <si>
    <t>CONDITIONALLY_READY</t>
  </si>
  <si>
    <t>DCS 70–89.99 and all hard gates pass</t>
  </si>
  <si>
    <t>Only workflows whose required checks pass</t>
  </si>
  <si>
    <t>REMEDIATE</t>
  </si>
  <si>
    <t>DCS 50–69.99</t>
  </si>
  <si>
    <t>Data fixes first; workflow build held</t>
  </si>
  <si>
    <t>DCS &lt;50</t>
  </si>
  <si>
    <t>No lifecycle orchestration</t>
  </si>
  <si>
    <t>DCS Score Assembly</t>
  </si>
  <si>
    <t>Exact aggregation, missing-data treatment and output fields</t>
  </si>
  <si>
    <t>Step</t>
  </si>
  <si>
    <t>Input</t>
  </si>
  <si>
    <t>Calculation</t>
  </si>
  <si>
    <t>Output field</t>
  </si>
  <si>
    <t>Hard rule</t>
  </si>
  <si>
    <t>Implementation note</t>
  </si>
  <si>
    <t>Foundation Gate results</t>
  </si>
  <si>
    <t>Evaluate blocking gates before numeric scoring</t>
  </si>
  <si>
    <t>score_state</t>
  </si>
  <si>
    <t>A blocking gate failure suppresses headline score</t>
  </si>
  <si>
    <t>FD-03 blocks only Business Reality when ERP is formally optional</t>
  </si>
  <si>
    <t>Check results</t>
  </si>
  <si>
    <t>Map PASS=1, WARN=0.5, FAIL=0; exclude NA/NOT_CONNECTED/UNKNOWN</t>
  </si>
  <si>
    <t>check_result.score_factor</t>
  </si>
  <si>
    <t>No silent zero for missing evidence</t>
  </si>
  <si>
    <t>Every exclusion requires reason_code</t>
  </si>
  <si>
    <t>Numeric check weight</t>
  </si>
  <si>
    <t>Critical=5, High=4, Medium=2, Low=1, Informational=0.5</t>
  </si>
  <si>
    <t>check_result.numeric_weight</t>
  </si>
  <si>
    <t>Foundation gates carry weight 0</t>
  </si>
  <si>
    <t>Severity and weight remain separate source fields</t>
  </si>
  <si>
    <t>Per dimension</t>
  </si>
  <si>
    <t>100 × Σ(weight × result factor) / Σ(eligible weight)</t>
  </si>
  <si>
    <t>dimension_score</t>
  </si>
  <si>
    <t>Eligible = PASS/WARN/FAIL only</t>
  </si>
  <si>
    <t>Round for display only; store 4 decimals</t>
  </si>
  <si>
    <t>Coverage</t>
  </si>
  <si>
    <t>Σ eligible weight / Σ scoped applicable weight</t>
  </si>
  <si>
    <t>dimension_coverage</t>
  </si>
  <si>
    <t>Required dimensions need ≥80%</t>
  </si>
  <si>
    <t>UNKNOWN lowers coverage; NOT_APPLICABLE needs evidence</t>
  </si>
  <si>
    <t>Σ(weight × confidence factor) / Σ eligible weight</t>
  </si>
  <si>
    <t>dimension_confidence</t>
  </si>
  <si>
    <t>Low confidence does not alter score</t>
  </si>
  <si>
    <t>It alters recommendation state and audit surface</t>
  </si>
  <si>
    <t>Headline</t>
  </si>
  <si>
    <t>Σ(dimension score × dimension weight) / Σ included dimension weight</t>
  </si>
  <si>
    <t>headline_score</t>
  </si>
  <si>
    <t>Business Reality may be excluded only by declared scope</t>
  </si>
  <si>
    <t>If excluded, cap state at CONDITIONALLY_READY and confidence at 85%</t>
  </si>
  <si>
    <t>Recommendation gate</t>
  </si>
  <si>
    <t>Join workflow Gating Check IDs to latest results</t>
  </si>
  <si>
    <t>workflow_readiness</t>
  </si>
  <si>
    <t>Every required check must PASS or approved WARN</t>
  </si>
  <si>
    <t>DCS ≥70 alone never overrides a failed workflow-specific gate</t>
  </si>
  <si>
    <t>Versioning</t>
  </si>
  <si>
    <t>Persist scoring_model_version and check_catalog_version</t>
  </si>
  <si>
    <t>provenance</t>
  </si>
  <si>
    <t>Never recompute history under a new model silently</t>
  </si>
  <si>
    <t>Re-score creates a new score record</t>
  </si>
  <si>
    <t>MVP1 Check Scope</t>
  </si>
  <si>
    <t>Exactly 28 deterministic rule checks + 14 drift/freshness checks = 42</t>
  </si>
  <si>
    <t>This sheet is authoritative for MVP1 build scope; the 102-check catalogue is the expansion library.</t>
  </si>
  <si>
    <t>Seq</t>
  </si>
  <si>
    <t>MVP1 Class</t>
  </si>
  <si>
    <t>Numeric Weight</t>
  </si>
  <si>
    <t>Role</t>
  </si>
  <si>
    <t>Build Phase</t>
  </si>
  <si>
    <t>RULE_BASED</t>
  </si>
  <si>
    <t>GATE</t>
  </si>
  <si>
    <t>MVP1-A</t>
  </si>
  <si>
    <t>SCORED</t>
  </si>
  <si>
    <t>DRIFT</t>
  </si>
  <si>
    <t>MVP1-B</t>
  </si>
  <si>
    <t>Lumera Worked Scoring Example</t>
  </si>
  <si>
    <t>Golden tenant example using the exact 42-check MVP1 scope</t>
  </si>
  <si>
    <t>Illustrative fixture for deterministic tests; not a claim about a real tenant.</t>
  </si>
  <si>
    <t>Class</t>
  </si>
  <si>
    <t>Weight</t>
  </si>
  <si>
    <t>Result</t>
  </si>
  <si>
    <t>Result Factor</t>
  </si>
  <si>
    <t>Confidence Factor</t>
  </si>
  <si>
    <t>Earned Weight</t>
  </si>
  <si>
    <t>Eligible Weight</t>
  </si>
  <si>
    <t>Confidence Weight</t>
  </si>
  <si>
    <t>Weight %</t>
  </si>
  <si>
    <t>Scoped Weight</t>
  </si>
  <si>
    <t>Sub-score</t>
  </si>
  <si>
    <t>Output</t>
  </si>
  <si>
    <t>Value</t>
  </si>
  <si>
    <t>Expected fixture</t>
  </si>
  <si>
    <t>Notes</t>
  </si>
  <si>
    <t>Blocking gates failed</t>
  </si>
  <si>
    <t>COUNT of FD-* with FAIL</t>
  </si>
  <si>
    <t>All foundation gates pass in Lumera fixture</t>
  </si>
  <si>
    <t>Headline DCS</t>
  </si>
  <si>
    <t>Weighted average of seven sub-scores</t>
  </si>
  <si>
    <t>Stored to 4 decimals; UI rounds to whole number</t>
  </si>
  <si>
    <t>Score state</t>
  </si>
  <si>
    <t>Gate → coverage → threshold</t>
  </si>
  <si>
    <t>Expected CONDITIONALLY_READY</t>
  </si>
  <si>
    <t>Pilot workflows unblocked</t>
  </si>
  <si>
    <t>See lumera_expected_results/workflow_readiness.json</t>
  </si>
  <si>
    <t>Required checks all PASS/approved WARN</t>
  </si>
  <si>
    <t>Calculated in expected fixture JSON</t>
  </si>
  <si>
    <t>Pilot Supplemental Preflight Gates</t>
  </si>
  <si>
    <t>Twelve on-demand checks required by the exact 16 pilot blueprints; outside the 42-check headline score</t>
  </si>
  <si>
    <t>Governance rule: a pilot cannot be planned, built or activated until all of its headline-scope and supplemental gating Check IDs have a current PASS result.</t>
  </si>
  <si>
    <t>Check</t>
  </si>
  <si>
    <t>Systems</t>
  </si>
  <si>
    <t>Required By</t>
  </si>
  <si>
    <t>Failure Behavior</t>
  </si>
  <si>
    <t>MVP1 Role</t>
  </si>
  <si>
    <t>UC-28</t>
  </si>
  <si>
    <t>PASS required; FAIL blocks dependent pilot only; excluded from headline DCS</t>
  </si>
  <si>
    <t>ON_DEMAND_PREFLIGHT</t>
  </si>
  <si>
    <t>UC-08, UC-11</t>
  </si>
  <si>
    <t>UC-02, UC-05</t>
  </si>
  <si>
    <t>UC-02</t>
  </si>
  <si>
    <t>UC-21</t>
  </si>
  <si>
    <t>UC-09</t>
  </si>
  <si>
    <t>UC-13</t>
  </si>
  <si>
    <t>UC-12, UC-21</t>
  </si>
  <si>
    <t>UC-04</t>
  </si>
  <si>
    <t>UC-11</t>
  </si>
  <si>
    <t>UC-06B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</si>
</sst>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</numFmts>
  <fonts count="26">
    <font>
      <sz val="11"/>
      <color theme="1"/>
      <name val="Calibri"/>
    </font>
    <font>
      <sz val="10"/>
      <name val="Arial"/>
    </font>
    <font>
      <b/>
      <sz val="14"/>
      <color rgb="FF16161A"/>
      <name val="Inter"/>
    </font>
    <font>
      <sz val="10"/>
      <color rgb="FF1F3A5F"/>
      <name val="Inter"/>
    </font>
    <font>
      <sz val="9"/>
      <color rgb="FF9C9A92"/>
      <name val="Inter"/>
    </font>
    <font>
      <sz val="8"/>
      <color rgb="FF9C9A92"/>
      <name val="Inter"/>
    </font>
    <font>
      <b/>
      <sz val="9"/>
      <color rgb="FF1F3A5F"/>
      <name val="Inter"/>
    </font>
    <font>
      <b/>
      <sz val="9"/>
      <color rgb="FF16161A"/>
      <name val="Inter"/>
    </font>
    <font>
      <sz val="9"/>
      <color rgb="FF16161A"/>
      <name val="Inter"/>
    </font>
    <font>
      <b/>
      <sz val="9"/>
      <color rgb="FFFFFFFF"/>
      <name val="Inter"/>
    </font>
    <font>
      <sz val="8"/>
      <color rgb="FF1F3A5F"/>
      <name val="JetBrains Mono"/>
    </font>
    <font>
      <sz val="9"/>
      <color rgb="FF1F3A5F"/>
      <name val="JetBrains Mono"/>
    </font>
    <font>
      <sz val="9"/>
      <color rgb="FFFFFFFF"/>
      <name val="Inter"/>
    </font>
    <font>
      <i/>
      <sz val="8"/>
      <color rgb="FF9C9A92"/>
      <name val="Inter"/>
    </font>
    <font>
      <sz val="8"/>
      <color rgb="FF16161A"/>
      <name val="JetBrains Mono"/>
    </font>
    <font>
      <b/>
      <sz val="16"/>
      <color rgb="FFFFFFFF"/>
      <name val="Calibri"/>
    </font>
    <font>
      <i/>
      <sz val="10"/>
      <color rgb="FF172033"/>
      <name val="Calibri"/>
    </font>
    <font>
      <sz val="9"/>
      <color rgb="FF5B6472"/>
      <name val="Calibri"/>
    </font>
    <font>
      <b/>
      <sz val="10"/>
      <color rgb="FFFFFFFF"/>
      <name val="Calibri"/>
    </font>
    <font>
      <sz val="9"/>
      <color rgb="FF172033"/>
      <name val="Calibri"/>
    </font>
    <font>
      <b/>
      <sz val="11"/>
      <color rgb="FFFFFFFF"/>
      <name val="Calibri"/>
    </font>
    <font>
      <b/>
      <sz val="9"/>
      <color rgb="FF16161A"/>
      <name val="JetBrains Mono"/>
    </font>
    <font>
      <i/>
      <sz val="10"/>
      <color rgb="FF1F3A5F"/>
      <name val="Calibri"/>
    </font>
    <font>
      <sz val="9"/>
      <color rgb="FF9C9A92"/>
      <name val="Calibri"/>
    </font>
    <font>
      <b/>
      <sz val="9"/>
      <color rgb="FFFFFFFF"/>
      <name val="Calibri"/>
    </font>
    <font>
      <sz val="9"/>
      <color rgb="FF16161A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E8E4D9"/>
      </patternFill>
    </fill>
    <fill>
      <patternFill patternType="solid">
        <fgColor rgb="FF16161A"/>
      </patternFill>
    </fill>
    <fill>
      <patternFill patternType="solid">
        <fgColor rgb="FFF5F2EB"/>
      </patternFill>
    </fill>
    <fill>
      <patternFill patternType="solid">
        <fgColor rgb="FF1F3A5F"/>
      </patternFill>
    </fill>
    <fill>
      <patternFill patternType="solid">
        <fgColor rgb="FFB91C1C"/>
      </patternFill>
    </fill>
    <fill>
      <patternFill patternType="solid">
        <fgColor rgb="FFD97706"/>
      </patternFill>
    </fill>
    <fill>
      <patternFill patternType="solid">
        <fgColor rgb="FF162033"/>
      </patternFill>
    </fill>
    <fill>
      <patternFill patternType="solid">
        <fgColor rgb="FFEAF0FF"/>
      </patternFill>
    </fill>
    <fill>
      <patternFill patternType="solid">
        <fgColor rgb="FFF4F7FB"/>
      </patternFill>
    </fill>
    <fill>
      <patternFill patternType="solid">
        <fgColor rgb="FF0F766E"/>
      </patternFill>
    </fill>
    <fill>
      <patternFill patternType="solid">
        <fgColor rgb="FFF5F2EB"/>
      </patternFill>
    </fill>
    <fill>
      <patternFill patternType="solid">
        <fgColor rgb="FF16161A"/>
      </patternFill>
    </fill>
    <fill>
      <patternFill patternType="solid">
        <fgColor rgb="FFF7F6F2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E8E4D9"/>
      </left>
      <right style="thin">
        <color rgb="FFE8E4D9"/>
      </right>
      <top style="thin">
        <color rgb="FFE8E4D9"/>
      </top>
      <bottom style="thin">
        <color rgb="FFE8E4D9"/>
      </bottom>
      <diagonal/>
    </border>
    <border>
      <left style="thin">
        <color rgb="FFE8E4D9"/>
      </left>
      <right style="thin">
        <color rgb="FFE8E4D9"/>
      </right>
      <top style="thin">
        <color rgb="FFE8E4D9"/>
      </top>
      <bottom style="medium">
        <color rgb="FF16161A"/>
      </bottom>
      <diagonal/>
    </border>
    <border>
      <left style="thin">
        <color rgb="FF162033"/>
      </left>
      <right/>
      <top style="thin">
        <color rgb="FF162033"/>
      </top>
      <bottom style="thin">
        <color rgb="FF162033"/>
      </bottom>
      <diagonal/>
    </border>
    <border>
      <left/>
      <right/>
      <top style="thin">
        <color rgb="FF162033"/>
      </top>
      <bottom style="thin">
        <color rgb="FF162033"/>
      </bottom>
      <diagonal/>
    </border>
    <border>
      <left/>
      <right style="thin">
        <color rgb="FF162033"/>
      </right>
      <top style="thin">
        <color rgb="FF162033"/>
      </top>
      <bottom style="thin">
        <color rgb="FF162033"/>
      </bottom>
      <diagonal/>
    </border>
    <border>
      <left/>
      <right/>
      <top/>
      <bottom style="thin">
        <color rgb="FFD8E0EA"/>
      </bottom>
      <diagonal/>
    </border>
    <border>
      <left/>
      <right/>
      <top style="thin">
        <color rgb="FFD8E0EA"/>
      </top>
      <bottom style="thin">
        <color rgb="FFD8E0EA"/>
      </bottom>
      <diagonal/>
    </border>
    <border>
      <left/>
      <right/>
      <top style="thin">
        <color rgb="FFD8E0EA"/>
      </top>
      <bottom/>
      <diagonal/>
    </border>
    <border>
      <left style="thin">
        <color rgb="FF16161A"/>
      </left>
      <right/>
      <top style="thin">
        <color rgb="FF16161A"/>
      </top>
      <bottom style="thin">
        <color rgb="FF16161A"/>
      </bottom>
      <diagonal/>
    </border>
    <border>
      <left/>
      <right/>
      <top style="thin">
        <color rgb="FF16161A"/>
      </top>
      <bottom style="thin">
        <color rgb="FF16161A"/>
      </bottom>
      <diagonal/>
    </border>
    <border>
      <left/>
      <right style="thin">
        <color rgb="FF16161A"/>
      </right>
      <top style="thin">
        <color rgb="FF16161A"/>
      </top>
      <bottom style="thin">
        <color rgb="FF16161A"/>
      </bottom>
      <diagonal/>
    </border>
    <border>
      <left/>
      <right/>
      <top/>
      <bottom style="thin">
        <color rgb="FFE8E4D9"/>
      </bottom>
      <diagonal/>
    </border>
    <border>
      <left/>
      <right/>
      <top style="thin">
        <color rgb="FFE8E4D9"/>
      </top>
      <bottom style="thin">
        <color rgb="FFE8E4D9"/>
      </bottom>
      <diagonal/>
    </border>
    <border>
      <left/>
      <right/>
      <top style="thin">
        <color rgb="FFE8E4D9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65">
    <xf numFmtId="0" fontId="0" fillId="0" borderId="0" xfId="0"/>
    <xf numFmtId="0" fontId="23" fillId="14" borderId="0" xfId="0" applyFont="1" applyFill="1" applyAlignment="1">
      <alignment wrapText="1"/>
    </xf>
    <xf numFmtId="0" fontId="22" fillId="12" borderId="0" xfId="0" applyFont="1" applyFill="1" applyAlignment="1">
      <alignment wrapText="1"/>
    </xf>
    <xf numFmtId="0" fontId="15" fillId="13" borderId="0" xfId="0" applyFont="1" applyFill="1" applyAlignment="1">
      <alignment vertical="center"/>
    </xf>
    <xf numFmtId="0" fontId="17" fillId="10" borderId="0" xfId="0" applyFont="1" applyFill="1" applyAlignment="1">
      <alignment wrapText="1"/>
    </xf>
    <xf numFmtId="0" fontId="16" fillId="9" borderId="0" xfId="0" applyFont="1" applyFill="1" applyAlignment="1">
      <alignment wrapText="1"/>
    </xf>
    <xf numFmtId="0" fontId="15" fillId="8" borderId="0" xfId="0" applyFont="1" applyFill="1" applyAlignment="1">
      <alignment vertical="center"/>
    </xf>
    <xf numFmtId="0" fontId="8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0" fillId="2" borderId="1" xfId="0" applyFill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3" borderId="2" xfId="0" applyFont="1" applyFill="1" applyBorder="1" applyAlignment="1">
      <alignment vertical="center" wrapText="1"/>
    </xf>
    <xf numFmtId="0" fontId="8" fillId="4" borderId="1" xfId="0" applyFont="1" applyFill="1" applyBorder="1"/>
    <xf numFmtId="0" fontId="8" fillId="0" borderId="1" xfId="0" applyFont="1" applyBorder="1"/>
    <xf numFmtId="0" fontId="9" fillId="5" borderId="1" xfId="0" applyFont="1" applyFill="1" applyBorder="1"/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0" fontId="6" fillId="0" borderId="1" xfId="0" applyFont="1" applyBorder="1"/>
    <xf numFmtId="0" fontId="11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1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8" fillId="8" borderId="3" xfId="0" applyFont="1" applyFill="1" applyBorder="1" applyAlignment="1">
      <alignment vertical="center" wrapText="1"/>
    </xf>
    <xf numFmtId="0" fontId="18" fillId="8" borderId="4" xfId="0" applyFont="1" applyFill="1" applyBorder="1" applyAlignment="1">
      <alignment vertical="center" wrapText="1"/>
    </xf>
    <xf numFmtId="0" fontId="18" fillId="8" borderId="5" xfId="0" applyFont="1" applyFill="1" applyBorder="1" applyAlignment="1">
      <alignment vertical="center" wrapText="1"/>
    </xf>
    <xf numFmtId="0" fontId="19" fillId="0" borderId="6" xfId="0" applyFont="1" applyBorder="1" applyAlignment="1">
      <alignment vertical="top" wrapText="1"/>
    </xf>
    <xf numFmtId="0" fontId="19" fillId="0" borderId="6" xfId="0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9" fillId="0" borderId="7" xfId="0" applyFont="1" applyBorder="1" applyAlignment="1">
      <alignment vertical="top" wrapText="1"/>
    </xf>
    <xf numFmtId="0" fontId="19" fillId="0" borderId="7" xfId="0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9" fillId="0" borderId="8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8" fillId="8" borderId="4" xfId="0" applyNumberFormat="1" applyFont="1" applyFill="1" applyBorder="1" applyAlignment="1">
      <alignment vertical="center" wrapText="1"/>
    </xf>
    <xf numFmtId="1" fontId="19" fillId="0" borderId="6" xfId="0" applyNumberFormat="1" applyFont="1" applyBorder="1" applyAlignment="1">
      <alignment vertical="top" wrapText="1"/>
    </xf>
    <xf numFmtId="1" fontId="19" fillId="0" borderId="7" xfId="0" applyNumberFormat="1" applyFont="1" applyBorder="1" applyAlignment="1">
      <alignment vertical="top" wrapText="1"/>
    </xf>
    <xf numFmtId="0" fontId="20" fillId="11" borderId="0" xfId="0" applyFont="1" applyFill="1" applyAlignment="1">
      <alignment wrapText="1"/>
    </xf>
    <xf numFmtId="0" fontId="20" fillId="8" borderId="0" xfId="0" applyFont="1" applyFill="1"/>
    <xf numFmtId="164" fontId="0" fillId="0" borderId="0" xfId="0" applyNumberFormat="1"/>
    <xf numFmtId="165" fontId="0" fillId="0" borderId="0" xfId="0" applyNumberFormat="1"/>
    <xf numFmtId="0" fontId="21" fillId="12" borderId="1" xfId="0" applyFont="1" applyFill="1" applyBorder="1" applyAlignment="1">
      <alignment vertical="top" wrapText="1"/>
    </xf>
    <xf numFmtId="0" fontId="24" fillId="13" borderId="9" xfId="0" applyFont="1" applyFill="1" applyBorder="1" applyAlignment="1">
      <alignment vertical="center" wrapText="1"/>
    </xf>
    <xf numFmtId="0" fontId="24" fillId="13" borderId="10" xfId="0" applyFont="1" applyFill="1" applyBorder="1" applyAlignment="1">
      <alignment vertical="center" wrapText="1"/>
    </xf>
    <xf numFmtId="0" fontId="24" fillId="13" borderId="11" xfId="0" applyFont="1" applyFill="1" applyBorder="1" applyAlignment="1">
      <alignment vertical="center" wrapText="1"/>
    </xf>
    <xf numFmtId="0" fontId="25" fillId="0" borderId="12" xfId="0" applyFont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12" borderId="13" xfId="0" applyFont="1" applyFill="1" applyBorder="1" applyAlignment="1">
      <alignment vertical="top" wrapText="1"/>
    </xf>
    <xf numFmtId="0" fontId="25" fillId="12" borderId="14" xfId="0" applyFont="1" applyFill="1" applyBorder="1" applyAlignment="1">
      <alignment vertical="top" wrapText="1"/>
    </xf>
    <xf numFmtId="0" fontId="8" fillId="15" borderId="1" xfId="0" applyFont="1" applyFill="1" applyBorder="1" applyAlignment="1">
      <alignment vertical="top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2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4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99"/>
      <rgbColor rgb="FF9C9A92"/>
      <rgbColor rgb="FF1F3A5F"/>
      <rgbColor rgb="FF339966"/>
      <rgbColor rgb="FF16161A"/>
      <rgbColor rgb="FF333300"/>
      <rgbColor rgb="FFB9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5397481822324725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workbookViewId="0"/>
  </sheetViews>
  <sheetFormatPr baseColWidth="10" defaultColWidth="8.6640625" defaultRowHeight="15"/>
  <cols>
    <col min="1" max="1" width="34" customWidth="1"/>
    <col min="2" max="2" width="120" customWidth="1"/>
    <col min="3" max="3" width="52" customWidth="1"/>
    <col min="4" max="4" width="14" customWidth="1"/>
    <col min="5" max="5" width="22" customWidth="1"/>
    <col min="6" max="6" width="16" customWidth="1"/>
  </cols>
  <sheetData>
    <row r="1" spans="1:2" ht="21.75" customHeight="1">
      <c r="A1" s="8" t="s">
        <v>0</v>
      </c>
    </row>
    <row r="2" spans="1:2" ht="15.75" customHeight="1">
      <c r="A2" s="9" t="s">
        <v>1</v>
      </c>
    </row>
    <row r="3" spans="1:2" ht="13.5" customHeight="1">
      <c r="A3" s="10" t="s">
        <v>2</v>
      </c>
    </row>
    <row r="4" spans="1:2" ht="13.5" customHeight="1">
      <c r="A4" s="11" t="s">
        <v>3</v>
      </c>
    </row>
    <row r="6" spans="1:2" ht="18" customHeight="1">
      <c r="A6" s="12" t="s">
        <v>4</v>
      </c>
      <c r="B6" s="13"/>
    </row>
    <row r="7" spans="1:2" ht="51.75" customHeight="1">
      <c r="A7" s="14" t="s">
        <v>5</v>
      </c>
      <c r="B7" s="15" t="s">
        <v>6</v>
      </c>
    </row>
    <row r="8" spans="1:2" ht="51.75" customHeight="1">
      <c r="A8" s="14" t="s">
        <v>7</v>
      </c>
      <c r="B8" s="15" t="s">
        <v>8</v>
      </c>
    </row>
    <row r="9" spans="1:2" ht="39.75" customHeight="1">
      <c r="A9" s="14" t="s">
        <v>9</v>
      </c>
      <c r="B9" s="15" t="s">
        <v>10</v>
      </c>
    </row>
    <row r="10" spans="1:2" ht="51.75" customHeight="1">
      <c r="A10" s="14" t="s">
        <v>11</v>
      </c>
      <c r="B10" s="15" t="s">
        <v>12</v>
      </c>
    </row>
    <row r="11" spans="1:2" ht="39.75" customHeight="1">
      <c r="A11" s="14" t="s">
        <v>13</v>
      </c>
      <c r="B11" s="15" t="s">
        <v>14</v>
      </c>
    </row>
    <row r="12" spans="1:2" ht="39.75" customHeight="1">
      <c r="A12" s="14" t="s">
        <v>15</v>
      </c>
      <c r="B12" s="15" t="s">
        <v>16</v>
      </c>
    </row>
    <row r="13" spans="1:2" ht="51.75" customHeight="1">
      <c r="A13" s="14" t="s">
        <v>17</v>
      </c>
      <c r="B13" s="15" t="s">
        <v>18</v>
      </c>
    </row>
    <row r="14" spans="1:2" ht="51.75" customHeight="1">
      <c r="A14" s="14" t="s">
        <v>19</v>
      </c>
      <c r="B14" s="15" t="s">
        <v>20</v>
      </c>
    </row>
    <row r="15" spans="1:2" ht="39.75" customHeight="1">
      <c r="A15" s="14" t="s">
        <v>21</v>
      </c>
      <c r="B15" s="15" t="s">
        <v>22</v>
      </c>
    </row>
    <row r="16" spans="1:2" ht="18" customHeight="1">
      <c r="A16" s="12" t="s">
        <v>23</v>
      </c>
      <c r="B16" s="13"/>
    </row>
    <row r="17" spans="1:6" ht="24" customHeight="1">
      <c r="A17" s="16" t="s">
        <v>24</v>
      </c>
      <c r="B17" s="16" t="s">
        <v>25</v>
      </c>
      <c r="C17" s="16" t="s">
        <v>26</v>
      </c>
      <c r="D17" s="16" t="s">
        <v>27</v>
      </c>
      <c r="E17" s="16" t="s">
        <v>28</v>
      </c>
      <c r="F17" s="16" t="s">
        <v>29</v>
      </c>
    </row>
    <row r="18" spans="1:6">
      <c r="A18" s="17" t="s">
        <v>30</v>
      </c>
      <c r="B18" s="17">
        <v>8</v>
      </c>
      <c r="C18" s="17">
        <v>2</v>
      </c>
      <c r="D18" s="17">
        <v>4</v>
      </c>
      <c r="E18" s="17">
        <v>0</v>
      </c>
      <c r="F18" s="17">
        <v>7</v>
      </c>
    </row>
    <row r="19" spans="1:6">
      <c r="A19" s="18" t="s">
        <v>31</v>
      </c>
      <c r="B19" s="18">
        <v>16</v>
      </c>
      <c r="C19" s="18">
        <v>2</v>
      </c>
      <c r="D19" s="18">
        <v>4</v>
      </c>
      <c r="E19" s="18">
        <v>7</v>
      </c>
      <c r="F19" s="18">
        <v>5</v>
      </c>
    </row>
    <row r="20" spans="1:6">
      <c r="A20" s="17" t="s">
        <v>32</v>
      </c>
      <c r="B20" s="17">
        <v>15</v>
      </c>
      <c r="C20" s="17">
        <v>3</v>
      </c>
      <c r="D20" s="17">
        <v>7</v>
      </c>
      <c r="E20" s="17">
        <v>8</v>
      </c>
      <c r="F20" s="17">
        <v>10</v>
      </c>
    </row>
    <row r="21" spans="1:6">
      <c r="A21" s="18" t="s">
        <v>33</v>
      </c>
      <c r="B21" s="18">
        <v>15</v>
      </c>
      <c r="C21" s="18">
        <v>1</v>
      </c>
      <c r="D21" s="18">
        <v>9</v>
      </c>
      <c r="E21" s="18">
        <v>7</v>
      </c>
      <c r="F21" s="18">
        <v>8</v>
      </c>
    </row>
    <row r="22" spans="1:6">
      <c r="A22" s="17" t="s">
        <v>34</v>
      </c>
      <c r="B22" s="17">
        <v>14</v>
      </c>
      <c r="C22" s="17">
        <v>1</v>
      </c>
      <c r="D22" s="17">
        <v>5</v>
      </c>
      <c r="E22" s="17">
        <v>2</v>
      </c>
      <c r="F22" s="17">
        <v>4</v>
      </c>
    </row>
    <row r="23" spans="1:6">
      <c r="A23" s="18" t="s">
        <v>35</v>
      </c>
      <c r="B23" s="18">
        <v>12</v>
      </c>
      <c r="C23" s="18">
        <v>5</v>
      </c>
      <c r="D23" s="18">
        <v>1</v>
      </c>
      <c r="E23" s="18">
        <v>3</v>
      </c>
      <c r="F23" s="18">
        <v>6</v>
      </c>
    </row>
    <row r="24" spans="1:6">
      <c r="A24" s="17" t="s">
        <v>36</v>
      </c>
      <c r="B24" s="17">
        <v>10</v>
      </c>
      <c r="C24" s="17">
        <v>0</v>
      </c>
      <c r="D24" s="17">
        <v>1</v>
      </c>
      <c r="E24" s="17">
        <v>0</v>
      </c>
      <c r="F24" s="17">
        <v>1</v>
      </c>
    </row>
    <row r="25" spans="1:6">
      <c r="A25" s="18" t="s">
        <v>37</v>
      </c>
      <c r="B25" s="18">
        <v>12</v>
      </c>
      <c r="C25" s="18">
        <v>1</v>
      </c>
      <c r="D25" s="18">
        <v>5</v>
      </c>
      <c r="E25" s="18">
        <v>7</v>
      </c>
      <c r="F25" s="18">
        <v>5</v>
      </c>
    </row>
    <row r="26" spans="1:6">
      <c r="A26" s="19" t="s">
        <v>38</v>
      </c>
      <c r="B26" s="19">
        <v>102</v>
      </c>
      <c r="C26" s="19">
        <v>15</v>
      </c>
      <c r="D26" s="19">
        <v>36</v>
      </c>
      <c r="E26" s="19">
        <v>34</v>
      </c>
      <c r="F26" s="19">
        <v>46</v>
      </c>
    </row>
    <row r="28" spans="1:6">
      <c r="A28" s="12" t="s">
        <v>39</v>
      </c>
      <c r="B28" s="13"/>
    </row>
    <row r="29" spans="1:6" ht="42" customHeight="1">
      <c r="A29" s="7" t="s">
        <v>40</v>
      </c>
      <c r="B29" s="7"/>
    </row>
    <row r="30" spans="1:6" ht="21.75" customHeight="1">
      <c r="A30" s="16" t="s">
        <v>41</v>
      </c>
      <c r="B30" s="16" t="s">
        <v>42</v>
      </c>
      <c r="C30" s="16" t="s">
        <v>43</v>
      </c>
    </row>
    <row r="31" spans="1:6" ht="30" customHeight="1">
      <c r="A31" s="56" t="s">
        <v>44</v>
      </c>
      <c r="B31" s="56" t="s">
        <v>45</v>
      </c>
      <c r="C31" s="15" t="s">
        <v>46</v>
      </c>
    </row>
    <row r="32" spans="1:6" ht="30" customHeight="1">
      <c r="A32" s="21" t="s">
        <v>47</v>
      </c>
      <c r="B32" s="21" t="s">
        <v>48</v>
      </c>
      <c r="C32" s="22" t="s">
        <v>49</v>
      </c>
    </row>
    <row r="33" spans="1:3" ht="30" customHeight="1">
      <c r="A33" s="20" t="s">
        <v>50</v>
      </c>
      <c r="B33" s="20" t="s">
        <v>51</v>
      </c>
      <c r="C33" s="15" t="s">
        <v>52</v>
      </c>
    </row>
    <row r="34" spans="1:3" ht="30" customHeight="1">
      <c r="A34" s="21" t="s">
        <v>53</v>
      </c>
      <c r="B34" s="21" t="s">
        <v>54</v>
      </c>
      <c r="C34" s="22" t="s">
        <v>55</v>
      </c>
    </row>
    <row r="35" spans="1:3" ht="30" customHeight="1">
      <c r="A35" s="20" t="s">
        <v>56</v>
      </c>
      <c r="B35" s="20" t="s">
        <v>57</v>
      </c>
      <c r="C35" s="15" t="s">
        <v>58</v>
      </c>
    </row>
    <row r="36" spans="1:3" ht="30" customHeight="1">
      <c r="A36" s="21" t="s">
        <v>59</v>
      </c>
      <c r="B36" s="21" t="s">
        <v>60</v>
      </c>
      <c r="C36" s="22" t="s">
        <v>61</v>
      </c>
    </row>
    <row r="37" spans="1:3" ht="30" customHeight="1">
      <c r="A37" s="20" t="s">
        <v>62</v>
      </c>
      <c r="B37" s="20" t="s">
        <v>63</v>
      </c>
      <c r="C37" s="15" t="s">
        <v>64</v>
      </c>
    </row>
    <row r="38" spans="1:3" ht="30" customHeight="1">
      <c r="A38" s="21" t="s">
        <v>65</v>
      </c>
      <c r="B38" s="21" t="s">
        <v>66</v>
      </c>
      <c r="C38" s="22" t="s">
        <v>67</v>
      </c>
    </row>
    <row r="39" spans="1:3" ht="30" customHeight="1">
      <c r="A39" s="20" t="s">
        <v>68</v>
      </c>
      <c r="B39" s="20" t="s">
        <v>69</v>
      </c>
      <c r="C39" s="15" t="s">
        <v>70</v>
      </c>
    </row>
    <row r="40" spans="1:3" ht="30" customHeight="1">
      <c r="A40" s="21" t="s">
        <v>71</v>
      </c>
      <c r="B40" s="21" t="s">
        <v>72</v>
      </c>
      <c r="C40" s="22" t="s">
        <v>73</v>
      </c>
    </row>
    <row r="41" spans="1:3" ht="30" customHeight="1">
      <c r="A41" s="20" t="s">
        <v>74</v>
      </c>
      <c r="B41" s="20" t="s">
        <v>75</v>
      </c>
      <c r="C41" s="15" t="s">
        <v>76</v>
      </c>
    </row>
    <row r="43" spans="1:3">
      <c r="A43" s="12" t="s">
        <v>77</v>
      </c>
      <c r="B43" s="13"/>
    </row>
    <row r="44" spans="1:3">
      <c r="A44" s="23" t="s">
        <v>78</v>
      </c>
      <c r="B44" s="22" t="s">
        <v>79</v>
      </c>
    </row>
    <row r="45" spans="1:3">
      <c r="A45" s="24" t="s">
        <v>80</v>
      </c>
      <c r="B45" s="15" t="s">
        <v>81</v>
      </c>
    </row>
    <row r="46" spans="1:3">
      <c r="A46" s="23" t="s">
        <v>82</v>
      </c>
      <c r="B46" s="22" t="s">
        <v>83</v>
      </c>
    </row>
    <row r="47" spans="1:3">
      <c r="A47" s="24" t="s">
        <v>84</v>
      </c>
      <c r="B47" s="15" t="s">
        <v>85</v>
      </c>
    </row>
    <row r="48" spans="1:3">
      <c r="A48" s="23" t="s">
        <v>86</v>
      </c>
      <c r="B48" s="22" t="s">
        <v>87</v>
      </c>
    </row>
  </sheetData>
  <mergeCells count="1"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5"/>
  <sheetViews>
    <sheetView showGridLines="0" tabSelected="1" topLeftCell="A9" zoomScale="200" workbookViewId="0">
      <selection activeCell="C12" sqref="C12"/>
    </sheetView>
  </sheetViews>
  <sheetFormatPr baseColWidth="10" defaultColWidth="8.6640625" defaultRowHeight="15"/>
  <cols>
    <col min="1" max="1" width="9" customWidth="1"/>
    <col min="2" max="2" width="20" customWidth="1"/>
    <col min="3" max="3" width="26" customWidth="1"/>
    <col min="4" max="6" width="18" customWidth="1"/>
    <col min="7" max="7" width="52" customWidth="1"/>
    <col min="8" max="8" width="26" customWidth="1"/>
    <col min="9" max="9" width="24" customWidth="1"/>
    <col min="10" max="10" width="20" customWidth="1"/>
    <col min="11" max="11" width="30" customWidth="1"/>
    <col min="12" max="12" width="12" customWidth="1"/>
    <col min="13" max="13" width="44" customWidth="1"/>
    <col min="14" max="14" width="26" customWidth="1"/>
    <col min="15" max="15" width="11" customWidth="1"/>
    <col min="16" max="16" width="14" customWidth="1"/>
    <col min="17" max="17" width="52" customWidth="1"/>
    <col min="18" max="18" width="24" customWidth="1"/>
    <col min="19" max="19" width="16" customWidth="1"/>
    <col min="20" max="20" width="34" customWidth="1"/>
    <col min="21" max="21" width="15" customWidth="1"/>
    <col min="22" max="22" width="12" customWidth="1"/>
    <col min="23" max="23" width="22" customWidth="1"/>
    <col min="24" max="24" width="9" customWidth="1"/>
  </cols>
  <sheetData>
    <row r="1" spans="1:24" ht="21.75" customHeight="1">
      <c r="A1" s="8" t="s">
        <v>88</v>
      </c>
    </row>
    <row r="2" spans="1:24" ht="15.75" customHeight="1">
      <c r="A2" s="9" t="s">
        <v>89</v>
      </c>
    </row>
    <row r="3" spans="1:24" ht="13.5" customHeight="1">
      <c r="A3" s="10" t="s">
        <v>90</v>
      </c>
    </row>
    <row r="4" spans="1:24" ht="13.5" customHeight="1">
      <c r="A4" s="11" t="s">
        <v>3</v>
      </c>
    </row>
    <row r="5" spans="1:24" ht="30" customHeight="1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6" t="s">
        <v>97</v>
      </c>
      <c r="H5" s="16" t="s">
        <v>98</v>
      </c>
      <c r="I5" s="16" t="s">
        <v>99</v>
      </c>
      <c r="J5" s="16" t="s">
        <v>100</v>
      </c>
      <c r="K5" s="16" t="s">
        <v>101</v>
      </c>
      <c r="L5" s="16" t="s">
        <v>102</v>
      </c>
      <c r="M5" s="16" t="s">
        <v>103</v>
      </c>
      <c r="N5" s="16" t="s">
        <v>104</v>
      </c>
      <c r="O5" s="16" t="s">
        <v>13</v>
      </c>
      <c r="P5" s="16" t="s">
        <v>105</v>
      </c>
      <c r="Q5" s="16" t="s">
        <v>106</v>
      </c>
      <c r="R5" s="16" t="s">
        <v>107</v>
      </c>
      <c r="S5" s="16" t="s">
        <v>108</v>
      </c>
      <c r="T5" s="16" t="s">
        <v>109</v>
      </c>
      <c r="U5" s="16" t="s">
        <v>15</v>
      </c>
      <c r="V5" s="16" t="s">
        <v>110</v>
      </c>
      <c r="W5" s="16" t="s">
        <v>111</v>
      </c>
      <c r="X5" s="16" t="s">
        <v>112</v>
      </c>
    </row>
    <row r="6" spans="1:24" ht="15.75" customHeight="1">
      <c r="A6" s="12" t="s">
        <v>30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ht="42" customHeight="1">
      <c r="A7" s="25" t="s">
        <v>113</v>
      </c>
      <c r="B7" s="15" t="s">
        <v>30</v>
      </c>
      <c r="C7" s="15" t="s">
        <v>114</v>
      </c>
      <c r="D7" s="15" t="s">
        <v>115</v>
      </c>
      <c r="E7" s="15" t="s">
        <v>116</v>
      </c>
      <c r="F7" s="15" t="s">
        <v>117</v>
      </c>
      <c r="G7" s="15" t="s">
        <v>118</v>
      </c>
      <c r="H7" s="15" t="s">
        <v>119</v>
      </c>
      <c r="I7" s="15" t="s">
        <v>120</v>
      </c>
      <c r="J7" s="15" t="s">
        <v>120</v>
      </c>
      <c r="K7" s="15" t="s">
        <v>121</v>
      </c>
      <c r="L7" s="15" t="s">
        <v>122</v>
      </c>
      <c r="M7" s="15" t="s">
        <v>123</v>
      </c>
      <c r="N7" s="15" t="s">
        <v>124</v>
      </c>
      <c r="O7" s="26" t="s">
        <v>26</v>
      </c>
      <c r="P7" s="27" t="s">
        <v>125</v>
      </c>
      <c r="Q7" s="15" t="s">
        <v>126</v>
      </c>
      <c r="R7" s="15" t="s">
        <v>127</v>
      </c>
      <c r="S7" s="15" t="s">
        <v>128</v>
      </c>
      <c r="T7" s="15" t="s">
        <v>129</v>
      </c>
      <c r="U7" s="27" t="s">
        <v>130</v>
      </c>
      <c r="V7" s="27" t="s">
        <v>131</v>
      </c>
      <c r="W7" s="27" t="s">
        <v>120</v>
      </c>
      <c r="X7" s="27" t="s">
        <v>132</v>
      </c>
    </row>
    <row r="8" spans="1:24" ht="42" customHeight="1">
      <c r="A8" s="28" t="s">
        <v>133</v>
      </c>
      <c r="B8" s="22" t="s">
        <v>30</v>
      </c>
      <c r="C8" s="22" t="s">
        <v>134</v>
      </c>
      <c r="D8" s="22" t="s">
        <v>115</v>
      </c>
      <c r="E8" s="22" t="s">
        <v>135</v>
      </c>
      <c r="F8" s="22" t="s">
        <v>117</v>
      </c>
      <c r="G8" s="22" t="s">
        <v>136</v>
      </c>
      <c r="H8" s="22" t="s">
        <v>120</v>
      </c>
      <c r="I8" s="22" t="s">
        <v>137</v>
      </c>
      <c r="J8" s="22" t="s">
        <v>120</v>
      </c>
      <c r="K8" s="22" t="s">
        <v>138</v>
      </c>
      <c r="L8" s="22" t="s">
        <v>122</v>
      </c>
      <c r="M8" s="22" t="s">
        <v>139</v>
      </c>
      <c r="N8" s="22" t="s">
        <v>124</v>
      </c>
      <c r="O8" s="26" t="s">
        <v>26</v>
      </c>
      <c r="P8" s="29" t="s">
        <v>125</v>
      </c>
      <c r="Q8" s="22" t="s">
        <v>140</v>
      </c>
      <c r="R8" s="22" t="s">
        <v>127</v>
      </c>
      <c r="S8" s="22" t="s">
        <v>128</v>
      </c>
      <c r="T8" s="22" t="s">
        <v>141</v>
      </c>
      <c r="U8" s="29" t="s">
        <v>130</v>
      </c>
      <c r="V8" s="29" t="s">
        <v>131</v>
      </c>
      <c r="W8" s="29" t="s">
        <v>120</v>
      </c>
      <c r="X8" s="29" t="s">
        <v>132</v>
      </c>
    </row>
    <row r="9" spans="1:24" ht="42" customHeight="1">
      <c r="A9" s="25" t="s">
        <v>142</v>
      </c>
      <c r="B9" s="15" t="s">
        <v>30</v>
      </c>
      <c r="C9" s="15" t="s">
        <v>143</v>
      </c>
      <c r="D9" s="15" t="s">
        <v>115</v>
      </c>
      <c r="E9" s="15" t="s">
        <v>144</v>
      </c>
      <c r="F9" s="15" t="s">
        <v>117</v>
      </c>
      <c r="G9" s="15" t="s">
        <v>145</v>
      </c>
      <c r="H9" s="15" t="s">
        <v>120</v>
      </c>
      <c r="I9" s="15" t="s">
        <v>120</v>
      </c>
      <c r="J9" s="15" t="s">
        <v>146</v>
      </c>
      <c r="K9" s="15" t="s">
        <v>147</v>
      </c>
      <c r="L9" s="15" t="s">
        <v>148</v>
      </c>
      <c r="M9" s="15" t="s">
        <v>149</v>
      </c>
      <c r="N9" s="15" t="s">
        <v>150</v>
      </c>
      <c r="O9" s="30" t="s">
        <v>151</v>
      </c>
      <c r="P9" s="27" t="s">
        <v>152</v>
      </c>
      <c r="Q9" s="15" t="s">
        <v>153</v>
      </c>
      <c r="R9" s="15" t="s">
        <v>127</v>
      </c>
      <c r="S9" s="15" t="s">
        <v>154</v>
      </c>
      <c r="T9" s="15" t="s">
        <v>141</v>
      </c>
      <c r="U9" s="27" t="s">
        <v>130</v>
      </c>
      <c r="V9" s="27" t="s">
        <v>131</v>
      </c>
      <c r="W9" s="27" t="s">
        <v>120</v>
      </c>
      <c r="X9" s="27" t="s">
        <v>132</v>
      </c>
    </row>
    <row r="10" spans="1:24" ht="42" customHeight="1">
      <c r="A10" s="28" t="s">
        <v>155</v>
      </c>
      <c r="B10" s="22" t="s">
        <v>30</v>
      </c>
      <c r="C10" s="22" t="s">
        <v>156</v>
      </c>
      <c r="D10" s="22" t="s">
        <v>115</v>
      </c>
      <c r="E10" s="22" t="s">
        <v>157</v>
      </c>
      <c r="F10" s="22" t="s">
        <v>117</v>
      </c>
      <c r="G10" s="22" t="s">
        <v>158</v>
      </c>
      <c r="H10" s="22" t="s">
        <v>159</v>
      </c>
      <c r="I10" s="22" t="s">
        <v>160</v>
      </c>
      <c r="J10" s="22" t="s">
        <v>120</v>
      </c>
      <c r="K10" s="22" t="s">
        <v>161</v>
      </c>
      <c r="L10" s="22" t="s">
        <v>162</v>
      </c>
      <c r="M10" s="22" t="s">
        <v>163</v>
      </c>
      <c r="N10" s="22" t="s">
        <v>124</v>
      </c>
      <c r="O10" s="30" t="s">
        <v>151</v>
      </c>
      <c r="P10" s="29" t="s">
        <v>125</v>
      </c>
      <c r="Q10" s="22" t="s">
        <v>164</v>
      </c>
      <c r="R10" s="22" t="s">
        <v>127</v>
      </c>
      <c r="S10" s="22" t="s">
        <v>128</v>
      </c>
      <c r="T10" s="22" t="s">
        <v>141</v>
      </c>
      <c r="U10" s="29" t="s">
        <v>165</v>
      </c>
      <c r="V10" s="29" t="s">
        <v>131</v>
      </c>
      <c r="W10" s="29" t="s">
        <v>120</v>
      </c>
      <c r="X10" s="29" t="s">
        <v>132</v>
      </c>
    </row>
    <row r="11" spans="1:24" ht="42" customHeight="1">
      <c r="A11" s="25" t="s">
        <v>166</v>
      </c>
      <c r="B11" s="15" t="s">
        <v>30</v>
      </c>
      <c r="C11" s="15" t="s">
        <v>167</v>
      </c>
      <c r="D11" s="15" t="s">
        <v>115</v>
      </c>
      <c r="E11" s="15" t="s">
        <v>168</v>
      </c>
      <c r="F11" s="15" t="s">
        <v>117</v>
      </c>
      <c r="G11" s="15" t="s">
        <v>169</v>
      </c>
      <c r="H11" s="15" t="s">
        <v>170</v>
      </c>
      <c r="I11" s="15" t="s">
        <v>171</v>
      </c>
      <c r="J11" s="15" t="s">
        <v>172</v>
      </c>
      <c r="K11" s="15" t="s">
        <v>173</v>
      </c>
      <c r="L11" s="15" t="s">
        <v>174</v>
      </c>
      <c r="M11" s="15" t="s">
        <v>175</v>
      </c>
      <c r="N11" s="15" t="s">
        <v>176</v>
      </c>
      <c r="O11" s="31" t="s">
        <v>177</v>
      </c>
      <c r="P11" s="27" t="s">
        <v>178</v>
      </c>
      <c r="Q11" s="15" t="s">
        <v>179</v>
      </c>
      <c r="R11" s="15" t="s">
        <v>127</v>
      </c>
      <c r="S11" s="15" t="s">
        <v>128</v>
      </c>
      <c r="T11" s="15" t="s">
        <v>141</v>
      </c>
      <c r="U11" s="27" t="s">
        <v>165</v>
      </c>
      <c r="V11" s="27" t="s">
        <v>131</v>
      </c>
      <c r="W11" s="27" t="s">
        <v>120</v>
      </c>
      <c r="X11" s="27" t="s">
        <v>132</v>
      </c>
    </row>
    <row r="12" spans="1:24" ht="54" customHeight="1">
      <c r="A12" s="28" t="s">
        <v>180</v>
      </c>
      <c r="B12" s="64" t="s">
        <v>30</v>
      </c>
      <c r="C12" s="22" t="s">
        <v>181</v>
      </c>
      <c r="D12" s="22" t="s">
        <v>115</v>
      </c>
      <c r="E12" s="22" t="s">
        <v>116</v>
      </c>
      <c r="F12" s="22" t="s">
        <v>117</v>
      </c>
      <c r="G12" s="22" t="s">
        <v>182</v>
      </c>
      <c r="H12" s="22" t="s">
        <v>183</v>
      </c>
      <c r="I12" s="22" t="s">
        <v>184</v>
      </c>
      <c r="J12" s="22" t="s">
        <v>120</v>
      </c>
      <c r="K12" s="22" t="s">
        <v>185</v>
      </c>
      <c r="L12" s="22" t="s">
        <v>186</v>
      </c>
      <c r="M12" s="22" t="s">
        <v>187</v>
      </c>
      <c r="N12" s="22" t="s">
        <v>188</v>
      </c>
      <c r="O12" s="30" t="s">
        <v>151</v>
      </c>
      <c r="P12" s="29" t="s">
        <v>189</v>
      </c>
      <c r="Q12" s="22" t="s">
        <v>190</v>
      </c>
      <c r="R12" s="22" t="s">
        <v>127</v>
      </c>
      <c r="S12" s="22" t="s">
        <v>154</v>
      </c>
      <c r="T12" s="22" t="s">
        <v>141</v>
      </c>
      <c r="U12" s="29" t="s">
        <v>165</v>
      </c>
      <c r="V12" s="29" t="s">
        <v>131</v>
      </c>
      <c r="W12" s="29" t="s">
        <v>120</v>
      </c>
      <c r="X12" s="29" t="s">
        <v>132</v>
      </c>
    </row>
    <row r="13" spans="1:24" ht="42" customHeight="1">
      <c r="A13" s="25" t="s">
        <v>191</v>
      </c>
      <c r="B13" s="15" t="s">
        <v>30</v>
      </c>
      <c r="C13" s="15" t="s">
        <v>192</v>
      </c>
      <c r="D13" s="15" t="s">
        <v>115</v>
      </c>
      <c r="E13" s="15" t="s">
        <v>193</v>
      </c>
      <c r="F13" s="15" t="s">
        <v>117</v>
      </c>
      <c r="G13" s="15" t="s">
        <v>194</v>
      </c>
      <c r="H13" s="15" t="s">
        <v>195</v>
      </c>
      <c r="I13" s="15" t="s">
        <v>196</v>
      </c>
      <c r="J13" s="15" t="s">
        <v>120</v>
      </c>
      <c r="K13" s="15" t="s">
        <v>197</v>
      </c>
      <c r="L13" s="15" t="s">
        <v>122</v>
      </c>
      <c r="M13" s="15" t="s">
        <v>198</v>
      </c>
      <c r="N13" s="15" t="s">
        <v>199</v>
      </c>
      <c r="O13" s="30" t="s">
        <v>151</v>
      </c>
      <c r="P13" s="27" t="s">
        <v>200</v>
      </c>
      <c r="Q13" s="15" t="s">
        <v>201</v>
      </c>
      <c r="R13" s="15" t="s">
        <v>202</v>
      </c>
      <c r="S13" s="15" t="s">
        <v>203</v>
      </c>
      <c r="T13" s="15" t="s">
        <v>204</v>
      </c>
      <c r="U13" s="27" t="s">
        <v>130</v>
      </c>
      <c r="V13" s="27" t="s">
        <v>131</v>
      </c>
      <c r="W13" s="27" t="s">
        <v>120</v>
      </c>
      <c r="X13" s="27" t="s">
        <v>132</v>
      </c>
    </row>
    <row r="14" spans="1:24" ht="54" customHeight="1">
      <c r="A14" s="28" t="s">
        <v>205</v>
      </c>
      <c r="B14" s="22" t="s">
        <v>30</v>
      </c>
      <c r="C14" s="22" t="s">
        <v>206</v>
      </c>
      <c r="D14" s="22" t="s">
        <v>115</v>
      </c>
      <c r="E14" s="22" t="s">
        <v>207</v>
      </c>
      <c r="F14" s="22" t="s">
        <v>117</v>
      </c>
      <c r="G14" s="22" t="s">
        <v>208</v>
      </c>
      <c r="H14" s="22" t="s">
        <v>209</v>
      </c>
      <c r="I14" s="22" t="s">
        <v>120</v>
      </c>
      <c r="J14" s="22" t="s">
        <v>120</v>
      </c>
      <c r="K14" s="22" t="s">
        <v>210</v>
      </c>
      <c r="L14" s="22" t="s">
        <v>122</v>
      </c>
      <c r="M14" s="22" t="s">
        <v>211</v>
      </c>
      <c r="N14" s="22" t="s">
        <v>212</v>
      </c>
      <c r="O14" s="32" t="s">
        <v>213</v>
      </c>
      <c r="P14" s="29" t="s">
        <v>214</v>
      </c>
      <c r="Q14" s="22" t="s">
        <v>215</v>
      </c>
      <c r="R14" s="22" t="s">
        <v>127</v>
      </c>
      <c r="S14" s="22" t="s">
        <v>128</v>
      </c>
      <c r="T14" s="22" t="s">
        <v>141</v>
      </c>
      <c r="U14" s="29" t="s">
        <v>165</v>
      </c>
      <c r="V14" s="29" t="s">
        <v>131</v>
      </c>
      <c r="W14" s="29" t="s">
        <v>120</v>
      </c>
      <c r="X14" s="29" t="s">
        <v>216</v>
      </c>
    </row>
    <row r="15" spans="1:24" ht="15.75" customHeight="1">
      <c r="A15" s="12" t="s">
        <v>31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66" customHeight="1">
      <c r="A16" s="28" t="s">
        <v>217</v>
      </c>
      <c r="B16" s="22" t="s">
        <v>31</v>
      </c>
      <c r="C16" s="22" t="s">
        <v>218</v>
      </c>
      <c r="D16" s="22" t="s">
        <v>219</v>
      </c>
      <c r="E16" s="22" t="s">
        <v>220</v>
      </c>
      <c r="F16" s="22" t="s">
        <v>221</v>
      </c>
      <c r="G16" s="22" t="s">
        <v>222</v>
      </c>
      <c r="H16" s="22" t="s">
        <v>223</v>
      </c>
      <c r="I16" s="22" t="s">
        <v>224</v>
      </c>
      <c r="J16" s="22" t="s">
        <v>120</v>
      </c>
      <c r="K16" s="22" t="s">
        <v>225</v>
      </c>
      <c r="L16" s="22" t="s">
        <v>226</v>
      </c>
      <c r="M16" s="22" t="s">
        <v>227</v>
      </c>
      <c r="N16" s="22" t="s">
        <v>228</v>
      </c>
      <c r="O16" s="30" t="s">
        <v>151</v>
      </c>
      <c r="P16" s="29" t="s">
        <v>151</v>
      </c>
      <c r="Q16" s="22" t="s">
        <v>229</v>
      </c>
      <c r="R16" s="22" t="s">
        <v>230</v>
      </c>
      <c r="S16" s="22" t="s">
        <v>128</v>
      </c>
      <c r="T16" s="22" t="s">
        <v>231</v>
      </c>
      <c r="U16" s="29" t="s">
        <v>130</v>
      </c>
      <c r="V16" s="29" t="s">
        <v>232</v>
      </c>
      <c r="W16" s="33" t="s">
        <v>233</v>
      </c>
      <c r="X16" s="29" t="s">
        <v>132</v>
      </c>
    </row>
    <row r="17" spans="1:24" ht="66" customHeight="1">
      <c r="A17" s="25" t="s">
        <v>234</v>
      </c>
      <c r="B17" s="15" t="s">
        <v>31</v>
      </c>
      <c r="C17" s="15" t="s">
        <v>235</v>
      </c>
      <c r="D17" s="15" t="s">
        <v>236</v>
      </c>
      <c r="E17" s="15" t="s">
        <v>135</v>
      </c>
      <c r="F17" s="15" t="s">
        <v>237</v>
      </c>
      <c r="G17" s="15" t="s">
        <v>238</v>
      </c>
      <c r="H17" s="15" t="s">
        <v>120</v>
      </c>
      <c r="I17" s="15" t="s">
        <v>239</v>
      </c>
      <c r="J17" s="15" t="s">
        <v>120</v>
      </c>
      <c r="K17" s="15" t="s">
        <v>240</v>
      </c>
      <c r="L17" s="15" t="s">
        <v>241</v>
      </c>
      <c r="M17" s="15" t="s">
        <v>242</v>
      </c>
      <c r="N17" s="15" t="s">
        <v>243</v>
      </c>
      <c r="O17" s="30" t="s">
        <v>151</v>
      </c>
      <c r="P17" s="27" t="s">
        <v>151</v>
      </c>
      <c r="Q17" s="15" t="s">
        <v>244</v>
      </c>
      <c r="R17" s="15" t="s">
        <v>202</v>
      </c>
      <c r="S17" s="15" t="s">
        <v>203</v>
      </c>
      <c r="T17" s="15" t="s">
        <v>245</v>
      </c>
      <c r="U17" s="27" t="s">
        <v>130</v>
      </c>
      <c r="V17" s="27" t="s">
        <v>232</v>
      </c>
      <c r="W17" s="34" t="s">
        <v>233</v>
      </c>
      <c r="X17" s="27" t="s">
        <v>132</v>
      </c>
    </row>
    <row r="18" spans="1:24" ht="54" customHeight="1">
      <c r="A18" s="28" t="s">
        <v>51</v>
      </c>
      <c r="B18" s="22" t="s">
        <v>31</v>
      </c>
      <c r="C18" s="22" t="s">
        <v>246</v>
      </c>
      <c r="D18" s="22" t="s">
        <v>247</v>
      </c>
      <c r="E18" s="22" t="s">
        <v>116</v>
      </c>
      <c r="F18" s="22" t="s">
        <v>248</v>
      </c>
      <c r="G18" s="22" t="s">
        <v>249</v>
      </c>
      <c r="H18" s="22" t="s">
        <v>250</v>
      </c>
      <c r="I18" s="22" t="s">
        <v>120</v>
      </c>
      <c r="J18" s="22" t="s">
        <v>120</v>
      </c>
      <c r="K18" s="22" t="s">
        <v>251</v>
      </c>
      <c r="L18" s="22" t="s">
        <v>252</v>
      </c>
      <c r="M18" s="22" t="s">
        <v>253</v>
      </c>
      <c r="N18" s="22" t="s">
        <v>254</v>
      </c>
      <c r="O18" s="30" t="s">
        <v>151</v>
      </c>
      <c r="P18" s="29" t="s">
        <v>151</v>
      </c>
      <c r="Q18" s="22" t="s">
        <v>255</v>
      </c>
      <c r="R18" s="22" t="s">
        <v>230</v>
      </c>
      <c r="S18" s="22" t="s">
        <v>256</v>
      </c>
      <c r="T18" s="22" t="s">
        <v>257</v>
      </c>
      <c r="U18" s="29" t="s">
        <v>130</v>
      </c>
      <c r="V18" s="29" t="s">
        <v>232</v>
      </c>
      <c r="W18" s="33" t="s">
        <v>50</v>
      </c>
      <c r="X18" s="29" t="s">
        <v>132</v>
      </c>
    </row>
    <row r="19" spans="1:24" ht="54" customHeight="1">
      <c r="A19" s="25" t="s">
        <v>258</v>
      </c>
      <c r="B19" s="15" t="s">
        <v>31</v>
      </c>
      <c r="C19" s="15" t="s">
        <v>259</v>
      </c>
      <c r="D19" s="15" t="s">
        <v>236</v>
      </c>
      <c r="E19" s="15" t="s">
        <v>135</v>
      </c>
      <c r="F19" s="15" t="s">
        <v>248</v>
      </c>
      <c r="G19" s="15" t="s">
        <v>260</v>
      </c>
      <c r="H19" s="15" t="s">
        <v>120</v>
      </c>
      <c r="I19" s="15" t="s">
        <v>261</v>
      </c>
      <c r="J19" s="15" t="s">
        <v>120</v>
      </c>
      <c r="K19" s="15" t="s">
        <v>262</v>
      </c>
      <c r="L19" s="15" t="s">
        <v>263</v>
      </c>
      <c r="M19" s="15" t="s">
        <v>264</v>
      </c>
      <c r="N19" s="15" t="s">
        <v>265</v>
      </c>
      <c r="O19" s="31" t="s">
        <v>177</v>
      </c>
      <c r="P19" s="27" t="s">
        <v>177</v>
      </c>
      <c r="Q19" s="15" t="s">
        <v>266</v>
      </c>
      <c r="R19" s="15" t="s">
        <v>267</v>
      </c>
      <c r="S19" s="15" t="s">
        <v>268</v>
      </c>
      <c r="T19" s="15" t="s">
        <v>269</v>
      </c>
      <c r="U19" s="27" t="s">
        <v>130</v>
      </c>
      <c r="V19" s="27" t="s">
        <v>131</v>
      </c>
      <c r="W19" s="27" t="s">
        <v>120</v>
      </c>
      <c r="X19" s="27" t="s">
        <v>270</v>
      </c>
    </row>
    <row r="20" spans="1:24" ht="54" customHeight="1">
      <c r="A20" s="28" t="s">
        <v>271</v>
      </c>
      <c r="B20" s="22" t="s">
        <v>31</v>
      </c>
      <c r="C20" s="22" t="s">
        <v>272</v>
      </c>
      <c r="D20" s="22" t="s">
        <v>219</v>
      </c>
      <c r="E20" s="22" t="s">
        <v>220</v>
      </c>
      <c r="F20" s="22" t="s">
        <v>273</v>
      </c>
      <c r="G20" s="22" t="s">
        <v>274</v>
      </c>
      <c r="H20" s="22" t="s">
        <v>275</v>
      </c>
      <c r="I20" s="22" t="s">
        <v>276</v>
      </c>
      <c r="J20" s="22" t="s">
        <v>277</v>
      </c>
      <c r="K20" s="22" t="s">
        <v>278</v>
      </c>
      <c r="L20" s="22" t="s">
        <v>279</v>
      </c>
      <c r="M20" s="22" t="s">
        <v>280</v>
      </c>
      <c r="N20" s="22" t="s">
        <v>281</v>
      </c>
      <c r="O20" s="26" t="s">
        <v>26</v>
      </c>
      <c r="P20" s="29" t="s">
        <v>151</v>
      </c>
      <c r="Q20" s="22" t="s">
        <v>282</v>
      </c>
      <c r="R20" s="22" t="s">
        <v>230</v>
      </c>
      <c r="S20" s="22" t="s">
        <v>128</v>
      </c>
      <c r="T20" s="22" t="s">
        <v>283</v>
      </c>
      <c r="U20" s="29" t="s">
        <v>130</v>
      </c>
      <c r="V20" s="29" t="s">
        <v>232</v>
      </c>
      <c r="W20" s="33" t="s">
        <v>47</v>
      </c>
      <c r="X20" s="29" t="s">
        <v>132</v>
      </c>
    </row>
    <row r="21" spans="1:24" ht="54" customHeight="1">
      <c r="A21" s="25" t="s">
        <v>284</v>
      </c>
      <c r="B21" s="15" t="s">
        <v>31</v>
      </c>
      <c r="C21" s="15" t="s">
        <v>285</v>
      </c>
      <c r="D21" s="15" t="s">
        <v>247</v>
      </c>
      <c r="E21" s="15" t="s">
        <v>220</v>
      </c>
      <c r="F21" s="15" t="s">
        <v>221</v>
      </c>
      <c r="G21" s="15" t="s">
        <v>286</v>
      </c>
      <c r="H21" s="15" t="s">
        <v>287</v>
      </c>
      <c r="I21" s="15" t="s">
        <v>288</v>
      </c>
      <c r="J21" s="15" t="s">
        <v>120</v>
      </c>
      <c r="K21" s="15" t="s">
        <v>289</v>
      </c>
      <c r="L21" s="15" t="s">
        <v>290</v>
      </c>
      <c r="M21" s="15" t="s">
        <v>291</v>
      </c>
      <c r="N21" s="15" t="s">
        <v>292</v>
      </c>
      <c r="O21" s="31" t="s">
        <v>177</v>
      </c>
      <c r="P21" s="27" t="s">
        <v>177</v>
      </c>
      <c r="Q21" s="15" t="s">
        <v>293</v>
      </c>
      <c r="R21" s="15" t="s">
        <v>230</v>
      </c>
      <c r="S21" s="15" t="s">
        <v>256</v>
      </c>
      <c r="T21" s="15" t="s">
        <v>294</v>
      </c>
      <c r="U21" s="27" t="s">
        <v>165</v>
      </c>
      <c r="V21" s="27" t="s">
        <v>131</v>
      </c>
      <c r="W21" s="27" t="s">
        <v>120</v>
      </c>
      <c r="X21" s="27" t="s">
        <v>270</v>
      </c>
    </row>
    <row r="22" spans="1:24" ht="54" customHeight="1">
      <c r="A22" s="28" t="s">
        <v>295</v>
      </c>
      <c r="B22" s="22" t="s">
        <v>31</v>
      </c>
      <c r="C22" s="22" t="s">
        <v>296</v>
      </c>
      <c r="D22" s="22" t="s">
        <v>236</v>
      </c>
      <c r="E22" s="22" t="s">
        <v>297</v>
      </c>
      <c r="F22" s="22" t="s">
        <v>221</v>
      </c>
      <c r="G22" s="22" t="s">
        <v>298</v>
      </c>
      <c r="H22" s="22" t="s">
        <v>299</v>
      </c>
      <c r="I22" s="22" t="s">
        <v>224</v>
      </c>
      <c r="J22" s="22" t="s">
        <v>120</v>
      </c>
      <c r="K22" s="22" t="s">
        <v>300</v>
      </c>
      <c r="L22" s="22" t="s">
        <v>301</v>
      </c>
      <c r="M22" s="22" t="s">
        <v>302</v>
      </c>
      <c r="N22" s="22" t="s">
        <v>303</v>
      </c>
      <c r="O22" s="26" t="s">
        <v>26</v>
      </c>
      <c r="P22" s="29" t="s">
        <v>151</v>
      </c>
      <c r="Q22" s="22" t="s">
        <v>304</v>
      </c>
      <c r="R22" s="22" t="s">
        <v>305</v>
      </c>
      <c r="S22" s="22" t="s">
        <v>203</v>
      </c>
      <c r="T22" s="22" t="s">
        <v>306</v>
      </c>
      <c r="U22" s="29" t="s">
        <v>130</v>
      </c>
      <c r="V22" s="29" t="s">
        <v>232</v>
      </c>
      <c r="W22" s="33" t="s">
        <v>233</v>
      </c>
      <c r="X22" s="29" t="s">
        <v>132</v>
      </c>
    </row>
    <row r="23" spans="1:24" ht="54" customHeight="1">
      <c r="A23" s="25" t="s">
        <v>307</v>
      </c>
      <c r="B23" s="15" t="s">
        <v>31</v>
      </c>
      <c r="C23" s="15" t="s">
        <v>308</v>
      </c>
      <c r="D23" s="15" t="s">
        <v>247</v>
      </c>
      <c r="E23" s="15" t="s">
        <v>116</v>
      </c>
      <c r="F23" s="15" t="s">
        <v>309</v>
      </c>
      <c r="G23" s="15" t="s">
        <v>310</v>
      </c>
      <c r="H23" s="15" t="s">
        <v>311</v>
      </c>
      <c r="I23" s="15" t="s">
        <v>312</v>
      </c>
      <c r="J23" s="15" t="s">
        <v>120</v>
      </c>
      <c r="K23" s="15" t="s">
        <v>313</v>
      </c>
      <c r="L23" s="15" t="s">
        <v>314</v>
      </c>
      <c r="M23" s="15" t="s">
        <v>315</v>
      </c>
      <c r="N23" s="15" t="s">
        <v>316</v>
      </c>
      <c r="O23" s="31" t="s">
        <v>177</v>
      </c>
      <c r="P23" s="27" t="s">
        <v>177</v>
      </c>
      <c r="Q23" s="15" t="s">
        <v>317</v>
      </c>
      <c r="R23" s="15" t="s">
        <v>230</v>
      </c>
      <c r="S23" s="15" t="s">
        <v>256</v>
      </c>
      <c r="T23" s="15" t="s">
        <v>318</v>
      </c>
      <c r="U23" s="27" t="s">
        <v>130</v>
      </c>
      <c r="V23" s="27" t="s">
        <v>131</v>
      </c>
      <c r="W23" s="27" t="s">
        <v>120</v>
      </c>
      <c r="X23" s="27" t="s">
        <v>270</v>
      </c>
    </row>
    <row r="24" spans="1:24" ht="42" customHeight="1">
      <c r="A24" s="28" t="s">
        <v>319</v>
      </c>
      <c r="B24" s="22" t="s">
        <v>31</v>
      </c>
      <c r="C24" s="22" t="s">
        <v>320</v>
      </c>
      <c r="D24" s="22" t="s">
        <v>247</v>
      </c>
      <c r="E24" s="22" t="s">
        <v>220</v>
      </c>
      <c r="F24" s="22" t="s">
        <v>309</v>
      </c>
      <c r="G24" s="22" t="s">
        <v>321</v>
      </c>
      <c r="H24" s="22" t="s">
        <v>322</v>
      </c>
      <c r="I24" s="22" t="s">
        <v>323</v>
      </c>
      <c r="J24" s="22" t="s">
        <v>324</v>
      </c>
      <c r="K24" s="22" t="s">
        <v>325</v>
      </c>
      <c r="L24" s="22" t="s">
        <v>326</v>
      </c>
      <c r="M24" s="22" t="s">
        <v>327</v>
      </c>
      <c r="N24" s="22" t="s">
        <v>328</v>
      </c>
      <c r="O24" s="31" t="s">
        <v>177</v>
      </c>
      <c r="P24" s="29" t="s">
        <v>177</v>
      </c>
      <c r="Q24" s="22" t="s">
        <v>329</v>
      </c>
      <c r="R24" s="22" t="s">
        <v>230</v>
      </c>
      <c r="S24" s="22" t="s">
        <v>128</v>
      </c>
      <c r="T24" s="22" t="s">
        <v>330</v>
      </c>
      <c r="U24" s="29" t="s">
        <v>165</v>
      </c>
      <c r="V24" s="29" t="s">
        <v>232</v>
      </c>
      <c r="W24" s="33" t="s">
        <v>53</v>
      </c>
      <c r="X24" s="29" t="s">
        <v>270</v>
      </c>
    </row>
    <row r="25" spans="1:24" ht="54" customHeight="1">
      <c r="A25" s="25" t="s">
        <v>331</v>
      </c>
      <c r="B25" s="15" t="s">
        <v>31</v>
      </c>
      <c r="C25" s="15" t="s">
        <v>332</v>
      </c>
      <c r="D25" s="15" t="s">
        <v>247</v>
      </c>
      <c r="E25" s="15" t="s">
        <v>220</v>
      </c>
      <c r="F25" s="15" t="s">
        <v>221</v>
      </c>
      <c r="G25" s="15" t="s">
        <v>333</v>
      </c>
      <c r="H25" s="15" t="s">
        <v>334</v>
      </c>
      <c r="I25" s="15" t="s">
        <v>335</v>
      </c>
      <c r="J25" s="15" t="s">
        <v>120</v>
      </c>
      <c r="K25" s="15" t="s">
        <v>336</v>
      </c>
      <c r="L25" s="15" t="s">
        <v>337</v>
      </c>
      <c r="M25" s="15" t="s">
        <v>338</v>
      </c>
      <c r="N25" s="15" t="s">
        <v>339</v>
      </c>
      <c r="O25" s="32" t="s">
        <v>213</v>
      </c>
      <c r="P25" s="27" t="s">
        <v>213</v>
      </c>
      <c r="Q25" s="15" t="s">
        <v>340</v>
      </c>
      <c r="R25" s="15" t="s">
        <v>230</v>
      </c>
      <c r="S25" s="15" t="s">
        <v>128</v>
      </c>
      <c r="T25" s="15" t="s">
        <v>341</v>
      </c>
      <c r="U25" s="27" t="s">
        <v>165</v>
      </c>
      <c r="V25" s="27" t="s">
        <v>131</v>
      </c>
      <c r="W25" s="27" t="s">
        <v>120</v>
      </c>
      <c r="X25" s="27" t="s">
        <v>216</v>
      </c>
    </row>
    <row r="26" spans="1:24" ht="42" customHeight="1">
      <c r="A26" s="28" t="s">
        <v>342</v>
      </c>
      <c r="B26" s="22" t="s">
        <v>31</v>
      </c>
      <c r="C26" s="22" t="s">
        <v>343</v>
      </c>
      <c r="D26" s="22" t="s">
        <v>247</v>
      </c>
      <c r="E26" s="22" t="s">
        <v>344</v>
      </c>
      <c r="F26" s="22" t="s">
        <v>221</v>
      </c>
      <c r="G26" s="22" t="s">
        <v>345</v>
      </c>
      <c r="H26" s="22" t="s">
        <v>346</v>
      </c>
      <c r="I26" s="22" t="s">
        <v>347</v>
      </c>
      <c r="J26" s="22" t="s">
        <v>348</v>
      </c>
      <c r="K26" s="22" t="s">
        <v>349</v>
      </c>
      <c r="L26" s="22" t="s">
        <v>337</v>
      </c>
      <c r="M26" s="22" t="s">
        <v>350</v>
      </c>
      <c r="N26" s="22" t="s">
        <v>351</v>
      </c>
      <c r="O26" s="31" t="s">
        <v>177</v>
      </c>
      <c r="P26" s="29" t="s">
        <v>177</v>
      </c>
      <c r="Q26" s="22" t="s">
        <v>352</v>
      </c>
      <c r="R26" s="22" t="s">
        <v>230</v>
      </c>
      <c r="S26" s="22" t="s">
        <v>154</v>
      </c>
      <c r="T26" s="22" t="s">
        <v>353</v>
      </c>
      <c r="U26" s="29" t="s">
        <v>165</v>
      </c>
      <c r="V26" s="29" t="s">
        <v>131</v>
      </c>
      <c r="W26" s="29" t="s">
        <v>120</v>
      </c>
      <c r="X26" s="29" t="s">
        <v>270</v>
      </c>
    </row>
    <row r="27" spans="1:24" ht="42" customHeight="1">
      <c r="A27" s="25" t="s">
        <v>354</v>
      </c>
      <c r="B27" s="15" t="s">
        <v>31</v>
      </c>
      <c r="C27" s="15" t="s">
        <v>355</v>
      </c>
      <c r="D27" s="15" t="s">
        <v>247</v>
      </c>
      <c r="E27" s="15" t="s">
        <v>116</v>
      </c>
      <c r="F27" s="15" t="s">
        <v>309</v>
      </c>
      <c r="G27" s="15" t="s">
        <v>356</v>
      </c>
      <c r="H27" s="15" t="s">
        <v>357</v>
      </c>
      <c r="I27" s="15" t="s">
        <v>358</v>
      </c>
      <c r="J27" s="15" t="s">
        <v>120</v>
      </c>
      <c r="K27" s="15" t="s">
        <v>359</v>
      </c>
      <c r="L27" s="15" t="s">
        <v>326</v>
      </c>
      <c r="M27" s="15" t="s">
        <v>360</v>
      </c>
      <c r="N27" s="15" t="s">
        <v>361</v>
      </c>
      <c r="O27" s="32" t="s">
        <v>213</v>
      </c>
      <c r="P27" s="27" t="s">
        <v>213</v>
      </c>
      <c r="Q27" s="15" t="s">
        <v>362</v>
      </c>
      <c r="R27" s="15" t="s">
        <v>230</v>
      </c>
      <c r="S27" s="15" t="s">
        <v>256</v>
      </c>
      <c r="T27" s="15" t="s">
        <v>363</v>
      </c>
      <c r="U27" s="27" t="s">
        <v>165</v>
      </c>
      <c r="V27" s="27" t="s">
        <v>131</v>
      </c>
      <c r="W27" s="27" t="s">
        <v>120</v>
      </c>
      <c r="X27" s="27" t="s">
        <v>216</v>
      </c>
    </row>
    <row r="28" spans="1:24" ht="54" customHeight="1">
      <c r="A28" s="28" t="s">
        <v>364</v>
      </c>
      <c r="B28" s="22" t="s">
        <v>31</v>
      </c>
      <c r="C28" s="22" t="s">
        <v>365</v>
      </c>
      <c r="D28" s="22" t="s">
        <v>247</v>
      </c>
      <c r="E28" s="22" t="s">
        <v>116</v>
      </c>
      <c r="F28" s="22" t="s">
        <v>366</v>
      </c>
      <c r="G28" s="22" t="s">
        <v>367</v>
      </c>
      <c r="H28" s="22" t="s">
        <v>368</v>
      </c>
      <c r="I28" s="22" t="s">
        <v>120</v>
      </c>
      <c r="J28" s="22" t="s">
        <v>120</v>
      </c>
      <c r="K28" s="22" t="s">
        <v>369</v>
      </c>
      <c r="L28" s="22" t="s">
        <v>370</v>
      </c>
      <c r="M28" s="22" t="s">
        <v>371</v>
      </c>
      <c r="N28" s="22" t="s">
        <v>372</v>
      </c>
      <c r="O28" s="31" t="s">
        <v>177</v>
      </c>
      <c r="P28" s="29" t="s">
        <v>177</v>
      </c>
      <c r="Q28" s="22" t="s">
        <v>373</v>
      </c>
      <c r="R28" s="22" t="s">
        <v>267</v>
      </c>
      <c r="S28" s="22" t="s">
        <v>154</v>
      </c>
      <c r="T28" s="22" t="s">
        <v>374</v>
      </c>
      <c r="U28" s="29" t="s">
        <v>130</v>
      </c>
      <c r="V28" s="29" t="s">
        <v>131</v>
      </c>
      <c r="W28" s="29" t="s">
        <v>120</v>
      </c>
      <c r="X28" s="29" t="s">
        <v>270</v>
      </c>
    </row>
    <row r="29" spans="1:24" ht="42" customHeight="1">
      <c r="A29" s="25" t="s">
        <v>375</v>
      </c>
      <c r="B29" s="15" t="s">
        <v>31</v>
      </c>
      <c r="C29" s="15" t="s">
        <v>376</v>
      </c>
      <c r="D29" s="15" t="s">
        <v>377</v>
      </c>
      <c r="E29" s="15" t="s">
        <v>116</v>
      </c>
      <c r="F29" s="15" t="s">
        <v>366</v>
      </c>
      <c r="G29" s="15" t="s">
        <v>378</v>
      </c>
      <c r="H29" s="15" t="s">
        <v>379</v>
      </c>
      <c r="I29" s="15" t="s">
        <v>380</v>
      </c>
      <c r="J29" s="15" t="s">
        <v>120</v>
      </c>
      <c r="K29" s="15" t="s">
        <v>381</v>
      </c>
      <c r="L29" s="15" t="s">
        <v>382</v>
      </c>
      <c r="M29" s="15" t="s">
        <v>383</v>
      </c>
      <c r="N29" s="15" t="s">
        <v>384</v>
      </c>
      <c r="O29" s="31" t="s">
        <v>177</v>
      </c>
      <c r="P29" s="27" t="s">
        <v>177</v>
      </c>
      <c r="Q29" s="15" t="s">
        <v>385</v>
      </c>
      <c r="R29" s="15" t="s">
        <v>202</v>
      </c>
      <c r="S29" s="15" t="s">
        <v>203</v>
      </c>
      <c r="T29" s="15" t="s">
        <v>386</v>
      </c>
      <c r="U29" s="27" t="s">
        <v>130</v>
      </c>
      <c r="V29" s="27" t="s">
        <v>131</v>
      </c>
      <c r="W29" s="27" t="s">
        <v>120</v>
      </c>
      <c r="X29" s="27" t="s">
        <v>270</v>
      </c>
    </row>
    <row r="30" spans="1:24" ht="42" customHeight="1">
      <c r="A30" s="28" t="s">
        <v>387</v>
      </c>
      <c r="B30" s="22" t="s">
        <v>31</v>
      </c>
      <c r="C30" s="22" t="s">
        <v>388</v>
      </c>
      <c r="D30" s="22" t="s">
        <v>247</v>
      </c>
      <c r="E30" s="22" t="s">
        <v>116</v>
      </c>
      <c r="F30" s="22" t="s">
        <v>389</v>
      </c>
      <c r="G30" s="22" t="s">
        <v>390</v>
      </c>
      <c r="H30" s="22" t="s">
        <v>391</v>
      </c>
      <c r="I30" s="22" t="s">
        <v>392</v>
      </c>
      <c r="J30" s="22" t="s">
        <v>120</v>
      </c>
      <c r="K30" s="22" t="s">
        <v>393</v>
      </c>
      <c r="L30" s="22" t="s">
        <v>394</v>
      </c>
      <c r="M30" s="22" t="s">
        <v>395</v>
      </c>
      <c r="N30" s="22" t="s">
        <v>396</v>
      </c>
      <c r="O30" s="32" t="s">
        <v>213</v>
      </c>
      <c r="P30" s="29" t="s">
        <v>177</v>
      </c>
      <c r="Q30" s="22" t="s">
        <v>397</v>
      </c>
      <c r="R30" s="22" t="s">
        <v>267</v>
      </c>
      <c r="S30" s="22" t="s">
        <v>256</v>
      </c>
      <c r="T30" s="22" t="s">
        <v>374</v>
      </c>
      <c r="U30" s="29" t="s">
        <v>165</v>
      </c>
      <c r="V30" s="29" t="s">
        <v>131</v>
      </c>
      <c r="W30" s="29" t="s">
        <v>120</v>
      </c>
      <c r="X30" s="29" t="s">
        <v>216</v>
      </c>
    </row>
    <row r="31" spans="1:24" ht="54" customHeight="1">
      <c r="A31" s="25" t="s">
        <v>398</v>
      </c>
      <c r="B31" s="15" t="s">
        <v>31</v>
      </c>
      <c r="C31" s="15" t="s">
        <v>399</v>
      </c>
      <c r="D31" s="15" t="s">
        <v>236</v>
      </c>
      <c r="E31" s="15" t="s">
        <v>400</v>
      </c>
      <c r="F31" s="15" t="s">
        <v>273</v>
      </c>
      <c r="G31" s="15" t="s">
        <v>401</v>
      </c>
      <c r="H31" s="15" t="s">
        <v>402</v>
      </c>
      <c r="I31" s="15" t="s">
        <v>403</v>
      </c>
      <c r="J31" s="15" t="s">
        <v>404</v>
      </c>
      <c r="K31" s="15" t="s">
        <v>405</v>
      </c>
      <c r="L31" s="15" t="s">
        <v>279</v>
      </c>
      <c r="M31" s="15" t="s">
        <v>406</v>
      </c>
      <c r="N31" s="15" t="s">
        <v>407</v>
      </c>
      <c r="O31" s="30" t="s">
        <v>151</v>
      </c>
      <c r="P31" s="27" t="s">
        <v>151</v>
      </c>
      <c r="Q31" s="15" t="s">
        <v>408</v>
      </c>
      <c r="R31" s="15" t="s">
        <v>230</v>
      </c>
      <c r="S31" s="15" t="s">
        <v>154</v>
      </c>
      <c r="T31" s="15" t="s">
        <v>409</v>
      </c>
      <c r="U31" s="27" t="s">
        <v>165</v>
      </c>
      <c r="V31" s="27" t="s">
        <v>232</v>
      </c>
      <c r="W31" s="34" t="s">
        <v>47</v>
      </c>
      <c r="X31" s="27" t="s">
        <v>270</v>
      </c>
    </row>
    <row r="32" spans="1:24" ht="15.75" customHeight="1">
      <c r="A32" s="12" t="s">
        <v>32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ht="66" customHeight="1">
      <c r="A33" s="25" t="s">
        <v>410</v>
      </c>
      <c r="B33" s="15" t="s">
        <v>32</v>
      </c>
      <c r="C33" s="15" t="s">
        <v>411</v>
      </c>
      <c r="D33" s="15" t="s">
        <v>412</v>
      </c>
      <c r="E33" s="15" t="s">
        <v>220</v>
      </c>
      <c r="F33" s="15" t="s">
        <v>221</v>
      </c>
      <c r="G33" s="15" t="s">
        <v>413</v>
      </c>
      <c r="H33" s="15" t="s">
        <v>414</v>
      </c>
      <c r="I33" s="15" t="s">
        <v>415</v>
      </c>
      <c r="J33" s="15" t="s">
        <v>120</v>
      </c>
      <c r="K33" s="15" t="s">
        <v>416</v>
      </c>
      <c r="L33" s="15" t="s">
        <v>417</v>
      </c>
      <c r="M33" s="15" t="s">
        <v>418</v>
      </c>
      <c r="N33" s="15" t="s">
        <v>419</v>
      </c>
      <c r="O33" s="26" t="s">
        <v>26</v>
      </c>
      <c r="P33" s="27" t="s">
        <v>151</v>
      </c>
      <c r="Q33" s="15" t="s">
        <v>420</v>
      </c>
      <c r="R33" s="15" t="s">
        <v>230</v>
      </c>
      <c r="S33" s="15" t="s">
        <v>128</v>
      </c>
      <c r="T33" s="15" t="s">
        <v>421</v>
      </c>
      <c r="U33" s="27" t="s">
        <v>130</v>
      </c>
      <c r="V33" s="27" t="s">
        <v>232</v>
      </c>
      <c r="W33" s="34" t="s">
        <v>56</v>
      </c>
      <c r="X33" s="27" t="s">
        <v>132</v>
      </c>
    </row>
    <row r="34" spans="1:24" ht="66" customHeight="1">
      <c r="A34" s="28" t="s">
        <v>422</v>
      </c>
      <c r="B34" s="22" t="s">
        <v>32</v>
      </c>
      <c r="C34" s="22" t="s">
        <v>423</v>
      </c>
      <c r="D34" s="22" t="s">
        <v>412</v>
      </c>
      <c r="E34" s="22" t="s">
        <v>220</v>
      </c>
      <c r="F34" s="22" t="s">
        <v>221</v>
      </c>
      <c r="G34" s="22" t="s">
        <v>424</v>
      </c>
      <c r="H34" s="22" t="s">
        <v>425</v>
      </c>
      <c r="I34" s="22" t="s">
        <v>426</v>
      </c>
      <c r="J34" s="22" t="s">
        <v>120</v>
      </c>
      <c r="K34" s="22" t="s">
        <v>427</v>
      </c>
      <c r="L34" s="22" t="s">
        <v>428</v>
      </c>
      <c r="M34" s="22" t="s">
        <v>429</v>
      </c>
      <c r="N34" s="22" t="s">
        <v>430</v>
      </c>
      <c r="O34" s="30" t="s">
        <v>151</v>
      </c>
      <c r="P34" s="29" t="s">
        <v>151</v>
      </c>
      <c r="Q34" s="22" t="s">
        <v>431</v>
      </c>
      <c r="R34" s="22" t="s">
        <v>230</v>
      </c>
      <c r="S34" s="22" t="s">
        <v>128</v>
      </c>
      <c r="T34" s="22" t="s">
        <v>432</v>
      </c>
      <c r="U34" s="29" t="s">
        <v>130</v>
      </c>
      <c r="V34" s="29" t="s">
        <v>232</v>
      </c>
      <c r="W34" s="33" t="s">
        <v>59</v>
      </c>
      <c r="X34" s="29" t="s">
        <v>132</v>
      </c>
    </row>
    <row r="35" spans="1:24" ht="54" customHeight="1">
      <c r="A35" s="25" t="s">
        <v>433</v>
      </c>
      <c r="B35" s="15" t="s">
        <v>32</v>
      </c>
      <c r="C35" s="15" t="s">
        <v>434</v>
      </c>
      <c r="D35" s="15" t="s">
        <v>435</v>
      </c>
      <c r="E35" s="15" t="s">
        <v>116</v>
      </c>
      <c r="F35" s="15" t="s">
        <v>237</v>
      </c>
      <c r="G35" s="15" t="s">
        <v>436</v>
      </c>
      <c r="H35" s="15" t="s">
        <v>437</v>
      </c>
      <c r="I35" s="15" t="s">
        <v>438</v>
      </c>
      <c r="J35" s="15" t="s">
        <v>120</v>
      </c>
      <c r="K35" s="15" t="s">
        <v>439</v>
      </c>
      <c r="L35" s="15" t="s">
        <v>440</v>
      </c>
      <c r="M35" s="15" t="s">
        <v>441</v>
      </c>
      <c r="N35" s="15" t="s">
        <v>442</v>
      </c>
      <c r="O35" s="30" t="s">
        <v>151</v>
      </c>
      <c r="P35" s="27" t="s">
        <v>151</v>
      </c>
      <c r="Q35" s="15" t="s">
        <v>443</v>
      </c>
      <c r="R35" s="15" t="s">
        <v>202</v>
      </c>
      <c r="S35" s="15" t="s">
        <v>203</v>
      </c>
      <c r="T35" s="15" t="s">
        <v>444</v>
      </c>
      <c r="U35" s="27" t="s">
        <v>165</v>
      </c>
      <c r="V35" s="27" t="s">
        <v>131</v>
      </c>
      <c r="W35" s="27" t="s">
        <v>120</v>
      </c>
      <c r="X35" s="27" t="s">
        <v>132</v>
      </c>
    </row>
    <row r="36" spans="1:24" ht="78" customHeight="1">
      <c r="A36" s="28" t="s">
        <v>445</v>
      </c>
      <c r="B36" s="22" t="s">
        <v>32</v>
      </c>
      <c r="C36" s="22" t="s">
        <v>446</v>
      </c>
      <c r="D36" s="22" t="s">
        <v>435</v>
      </c>
      <c r="E36" s="22" t="s">
        <v>116</v>
      </c>
      <c r="F36" s="22" t="s">
        <v>248</v>
      </c>
      <c r="G36" s="22" t="s">
        <v>447</v>
      </c>
      <c r="H36" s="22" t="s">
        <v>448</v>
      </c>
      <c r="I36" s="22" t="s">
        <v>449</v>
      </c>
      <c r="J36" s="22" t="s">
        <v>120</v>
      </c>
      <c r="K36" s="22" t="s">
        <v>450</v>
      </c>
      <c r="L36" s="22" t="s">
        <v>451</v>
      </c>
      <c r="M36" s="22" t="s">
        <v>452</v>
      </c>
      <c r="N36" s="22" t="s">
        <v>453</v>
      </c>
      <c r="O36" s="30" t="s">
        <v>151</v>
      </c>
      <c r="P36" s="29" t="s">
        <v>151</v>
      </c>
      <c r="Q36" s="22" t="s">
        <v>454</v>
      </c>
      <c r="R36" s="22" t="s">
        <v>455</v>
      </c>
      <c r="S36" s="22" t="s">
        <v>203</v>
      </c>
      <c r="T36" s="22" t="s">
        <v>456</v>
      </c>
      <c r="U36" s="29" t="s">
        <v>130</v>
      </c>
      <c r="V36" s="29" t="s">
        <v>232</v>
      </c>
      <c r="W36" s="33" t="s">
        <v>59</v>
      </c>
      <c r="X36" s="29" t="s">
        <v>132</v>
      </c>
    </row>
    <row r="37" spans="1:24" ht="42" customHeight="1">
      <c r="A37" s="25" t="s">
        <v>457</v>
      </c>
      <c r="B37" s="15" t="s">
        <v>32</v>
      </c>
      <c r="C37" s="15" t="s">
        <v>458</v>
      </c>
      <c r="D37" s="15" t="s">
        <v>459</v>
      </c>
      <c r="E37" s="15" t="s">
        <v>297</v>
      </c>
      <c r="F37" s="15" t="s">
        <v>221</v>
      </c>
      <c r="G37" s="15" t="s">
        <v>460</v>
      </c>
      <c r="H37" s="15" t="s">
        <v>461</v>
      </c>
      <c r="I37" s="15" t="s">
        <v>462</v>
      </c>
      <c r="J37" s="15" t="s">
        <v>120</v>
      </c>
      <c r="K37" s="15" t="s">
        <v>463</v>
      </c>
      <c r="L37" s="15" t="s">
        <v>417</v>
      </c>
      <c r="M37" s="15" t="s">
        <v>464</v>
      </c>
      <c r="N37" s="15" t="s">
        <v>465</v>
      </c>
      <c r="O37" s="26" t="s">
        <v>26</v>
      </c>
      <c r="P37" s="27" t="s">
        <v>151</v>
      </c>
      <c r="Q37" s="15" t="s">
        <v>466</v>
      </c>
      <c r="R37" s="15" t="s">
        <v>230</v>
      </c>
      <c r="S37" s="15" t="s">
        <v>128</v>
      </c>
      <c r="T37" s="15" t="s">
        <v>467</v>
      </c>
      <c r="U37" s="27" t="s">
        <v>130</v>
      </c>
      <c r="V37" s="27" t="s">
        <v>232</v>
      </c>
      <c r="W37" s="34" t="s">
        <v>56</v>
      </c>
      <c r="X37" s="27" t="s">
        <v>132</v>
      </c>
    </row>
    <row r="38" spans="1:24" ht="54" customHeight="1">
      <c r="A38" s="28" t="s">
        <v>468</v>
      </c>
      <c r="B38" s="22" t="s">
        <v>32</v>
      </c>
      <c r="C38" s="22" t="s">
        <v>469</v>
      </c>
      <c r="D38" s="22" t="s">
        <v>470</v>
      </c>
      <c r="E38" s="22" t="s">
        <v>116</v>
      </c>
      <c r="F38" s="22" t="s">
        <v>309</v>
      </c>
      <c r="G38" s="22" t="s">
        <v>471</v>
      </c>
      <c r="H38" s="22" t="s">
        <v>472</v>
      </c>
      <c r="I38" s="22" t="s">
        <v>473</v>
      </c>
      <c r="J38" s="22" t="s">
        <v>120</v>
      </c>
      <c r="K38" s="22" t="s">
        <v>474</v>
      </c>
      <c r="L38" s="22" t="s">
        <v>475</v>
      </c>
      <c r="M38" s="22" t="s">
        <v>476</v>
      </c>
      <c r="N38" s="22" t="s">
        <v>477</v>
      </c>
      <c r="O38" s="30" t="s">
        <v>151</v>
      </c>
      <c r="P38" s="29" t="s">
        <v>151</v>
      </c>
      <c r="Q38" s="22" t="s">
        <v>478</v>
      </c>
      <c r="R38" s="22" t="s">
        <v>305</v>
      </c>
      <c r="S38" s="22" t="s">
        <v>203</v>
      </c>
      <c r="T38" s="22" t="s">
        <v>479</v>
      </c>
      <c r="U38" s="29" t="s">
        <v>165</v>
      </c>
      <c r="V38" s="29" t="s">
        <v>232</v>
      </c>
      <c r="W38" s="33" t="s">
        <v>53</v>
      </c>
      <c r="X38" s="29" t="s">
        <v>132</v>
      </c>
    </row>
    <row r="39" spans="1:24" ht="54" customHeight="1">
      <c r="A39" s="25" t="s">
        <v>480</v>
      </c>
      <c r="B39" s="15" t="s">
        <v>32</v>
      </c>
      <c r="C39" s="15" t="s">
        <v>481</v>
      </c>
      <c r="D39" s="15" t="s">
        <v>482</v>
      </c>
      <c r="E39" s="15" t="s">
        <v>297</v>
      </c>
      <c r="F39" s="15" t="s">
        <v>221</v>
      </c>
      <c r="G39" s="15" t="s">
        <v>483</v>
      </c>
      <c r="H39" s="15" t="s">
        <v>484</v>
      </c>
      <c r="I39" s="15" t="s">
        <v>485</v>
      </c>
      <c r="J39" s="15" t="s">
        <v>120</v>
      </c>
      <c r="K39" s="15" t="s">
        <v>486</v>
      </c>
      <c r="L39" s="15" t="s">
        <v>487</v>
      </c>
      <c r="M39" s="15" t="s">
        <v>488</v>
      </c>
      <c r="N39" s="15" t="s">
        <v>489</v>
      </c>
      <c r="O39" s="30" t="s">
        <v>151</v>
      </c>
      <c r="P39" s="27" t="s">
        <v>151</v>
      </c>
      <c r="Q39" s="15" t="s">
        <v>490</v>
      </c>
      <c r="R39" s="15" t="s">
        <v>202</v>
      </c>
      <c r="S39" s="15" t="s">
        <v>203</v>
      </c>
      <c r="T39" s="15" t="s">
        <v>491</v>
      </c>
      <c r="U39" s="27" t="s">
        <v>130</v>
      </c>
      <c r="V39" s="27" t="s">
        <v>232</v>
      </c>
      <c r="W39" s="34" t="s">
        <v>56</v>
      </c>
      <c r="X39" s="27" t="s">
        <v>132</v>
      </c>
    </row>
    <row r="40" spans="1:24" ht="42" customHeight="1">
      <c r="A40" s="28" t="s">
        <v>492</v>
      </c>
      <c r="B40" s="22" t="s">
        <v>32</v>
      </c>
      <c r="C40" s="22" t="s">
        <v>493</v>
      </c>
      <c r="D40" s="22" t="s">
        <v>494</v>
      </c>
      <c r="E40" s="22" t="s">
        <v>116</v>
      </c>
      <c r="F40" s="22" t="s">
        <v>389</v>
      </c>
      <c r="G40" s="22" t="s">
        <v>495</v>
      </c>
      <c r="H40" s="22" t="s">
        <v>496</v>
      </c>
      <c r="I40" s="22" t="s">
        <v>497</v>
      </c>
      <c r="J40" s="22" t="s">
        <v>120</v>
      </c>
      <c r="K40" s="22" t="s">
        <v>498</v>
      </c>
      <c r="L40" s="22" t="s">
        <v>499</v>
      </c>
      <c r="M40" s="22" t="s">
        <v>500</v>
      </c>
      <c r="N40" s="22" t="s">
        <v>489</v>
      </c>
      <c r="O40" s="31" t="s">
        <v>177</v>
      </c>
      <c r="P40" s="29" t="s">
        <v>177</v>
      </c>
      <c r="Q40" s="22" t="s">
        <v>501</v>
      </c>
      <c r="R40" s="22" t="s">
        <v>305</v>
      </c>
      <c r="S40" s="22" t="s">
        <v>203</v>
      </c>
      <c r="T40" s="22" t="s">
        <v>502</v>
      </c>
      <c r="U40" s="29" t="s">
        <v>130</v>
      </c>
      <c r="V40" s="29" t="s">
        <v>131</v>
      </c>
      <c r="W40" s="29" t="s">
        <v>120</v>
      </c>
      <c r="X40" s="29" t="s">
        <v>270</v>
      </c>
    </row>
    <row r="41" spans="1:24" ht="54" customHeight="1">
      <c r="A41" s="25" t="s">
        <v>503</v>
      </c>
      <c r="B41" s="15" t="s">
        <v>32</v>
      </c>
      <c r="C41" s="15" t="s">
        <v>504</v>
      </c>
      <c r="D41" s="15" t="s">
        <v>505</v>
      </c>
      <c r="E41" s="15" t="s">
        <v>297</v>
      </c>
      <c r="F41" s="15" t="s">
        <v>221</v>
      </c>
      <c r="G41" s="15" t="s">
        <v>506</v>
      </c>
      <c r="H41" s="15" t="s">
        <v>507</v>
      </c>
      <c r="I41" s="15" t="s">
        <v>508</v>
      </c>
      <c r="J41" s="15" t="s">
        <v>509</v>
      </c>
      <c r="K41" s="15" t="s">
        <v>510</v>
      </c>
      <c r="L41" s="15" t="s">
        <v>511</v>
      </c>
      <c r="M41" s="15" t="s">
        <v>512</v>
      </c>
      <c r="N41" s="15" t="s">
        <v>513</v>
      </c>
      <c r="O41" s="26" t="s">
        <v>26</v>
      </c>
      <c r="P41" s="27" t="s">
        <v>151</v>
      </c>
      <c r="Q41" s="15" t="s">
        <v>514</v>
      </c>
      <c r="R41" s="15" t="s">
        <v>305</v>
      </c>
      <c r="S41" s="15" t="s">
        <v>128</v>
      </c>
      <c r="T41" s="15" t="s">
        <v>515</v>
      </c>
      <c r="U41" s="27" t="s">
        <v>130</v>
      </c>
      <c r="V41" s="27" t="s">
        <v>232</v>
      </c>
      <c r="W41" s="34" t="s">
        <v>56</v>
      </c>
      <c r="X41" s="27" t="s">
        <v>132</v>
      </c>
    </row>
    <row r="42" spans="1:24" ht="66" customHeight="1">
      <c r="A42" s="28" t="s">
        <v>516</v>
      </c>
      <c r="B42" s="22" t="s">
        <v>32</v>
      </c>
      <c r="C42" s="22" t="s">
        <v>517</v>
      </c>
      <c r="D42" s="22" t="s">
        <v>470</v>
      </c>
      <c r="E42" s="22" t="s">
        <v>116</v>
      </c>
      <c r="F42" s="22" t="s">
        <v>309</v>
      </c>
      <c r="G42" s="22" t="s">
        <v>518</v>
      </c>
      <c r="H42" s="22" t="s">
        <v>519</v>
      </c>
      <c r="I42" s="22" t="s">
        <v>120</v>
      </c>
      <c r="J42" s="22" t="s">
        <v>120</v>
      </c>
      <c r="K42" s="22" t="s">
        <v>520</v>
      </c>
      <c r="L42" s="22" t="s">
        <v>521</v>
      </c>
      <c r="M42" s="22" t="s">
        <v>522</v>
      </c>
      <c r="N42" s="22" t="s">
        <v>523</v>
      </c>
      <c r="O42" s="31" t="s">
        <v>177</v>
      </c>
      <c r="P42" s="29" t="s">
        <v>177</v>
      </c>
      <c r="Q42" s="22" t="s">
        <v>524</v>
      </c>
      <c r="R42" s="22" t="s">
        <v>202</v>
      </c>
      <c r="S42" s="22" t="s">
        <v>203</v>
      </c>
      <c r="T42" s="22" t="s">
        <v>491</v>
      </c>
      <c r="U42" s="29" t="s">
        <v>165</v>
      </c>
      <c r="V42" s="29" t="s">
        <v>131</v>
      </c>
      <c r="W42" s="29" t="s">
        <v>120</v>
      </c>
      <c r="X42" s="29" t="s">
        <v>270</v>
      </c>
    </row>
    <row r="43" spans="1:24" ht="66" customHeight="1">
      <c r="A43" s="25" t="s">
        <v>525</v>
      </c>
      <c r="B43" s="15" t="s">
        <v>32</v>
      </c>
      <c r="C43" s="15" t="s">
        <v>526</v>
      </c>
      <c r="D43" s="15" t="s">
        <v>470</v>
      </c>
      <c r="E43" s="15" t="s">
        <v>116</v>
      </c>
      <c r="F43" s="15" t="s">
        <v>366</v>
      </c>
      <c r="G43" s="15" t="s">
        <v>527</v>
      </c>
      <c r="H43" s="15" t="s">
        <v>528</v>
      </c>
      <c r="I43" s="15" t="s">
        <v>529</v>
      </c>
      <c r="J43" s="15" t="s">
        <v>120</v>
      </c>
      <c r="K43" s="15" t="s">
        <v>530</v>
      </c>
      <c r="L43" s="15" t="s">
        <v>531</v>
      </c>
      <c r="M43" s="15" t="s">
        <v>532</v>
      </c>
      <c r="N43" s="15" t="s">
        <v>533</v>
      </c>
      <c r="O43" s="30" t="s">
        <v>151</v>
      </c>
      <c r="P43" s="27" t="s">
        <v>151</v>
      </c>
      <c r="Q43" s="15" t="s">
        <v>534</v>
      </c>
      <c r="R43" s="15" t="s">
        <v>202</v>
      </c>
      <c r="S43" s="15" t="s">
        <v>203</v>
      </c>
      <c r="T43" s="15" t="s">
        <v>535</v>
      </c>
      <c r="U43" s="27" t="s">
        <v>130</v>
      </c>
      <c r="V43" s="27" t="s">
        <v>131</v>
      </c>
      <c r="W43" s="27" t="s">
        <v>120</v>
      </c>
      <c r="X43" s="27" t="s">
        <v>132</v>
      </c>
    </row>
    <row r="44" spans="1:24" ht="54" customHeight="1">
      <c r="A44" s="28" t="s">
        <v>536</v>
      </c>
      <c r="B44" s="22" t="s">
        <v>32</v>
      </c>
      <c r="C44" s="22" t="s">
        <v>537</v>
      </c>
      <c r="D44" s="22" t="s">
        <v>470</v>
      </c>
      <c r="E44" s="22" t="s">
        <v>116</v>
      </c>
      <c r="F44" s="22" t="s">
        <v>273</v>
      </c>
      <c r="G44" s="22" t="s">
        <v>538</v>
      </c>
      <c r="H44" s="22" t="s">
        <v>539</v>
      </c>
      <c r="I44" s="22" t="s">
        <v>540</v>
      </c>
      <c r="J44" s="22" t="s">
        <v>120</v>
      </c>
      <c r="K44" s="22" t="s">
        <v>541</v>
      </c>
      <c r="L44" s="22" t="s">
        <v>542</v>
      </c>
      <c r="M44" s="22" t="s">
        <v>543</v>
      </c>
      <c r="N44" s="22" t="s">
        <v>544</v>
      </c>
      <c r="O44" s="31" t="s">
        <v>177</v>
      </c>
      <c r="P44" s="29" t="s">
        <v>177</v>
      </c>
      <c r="Q44" s="22" t="s">
        <v>545</v>
      </c>
      <c r="R44" s="22" t="s">
        <v>202</v>
      </c>
      <c r="S44" s="22" t="s">
        <v>203</v>
      </c>
      <c r="T44" s="22" t="s">
        <v>491</v>
      </c>
      <c r="U44" s="29" t="s">
        <v>165</v>
      </c>
      <c r="V44" s="29" t="s">
        <v>131</v>
      </c>
      <c r="W44" s="29" t="s">
        <v>120</v>
      </c>
      <c r="X44" s="29" t="s">
        <v>270</v>
      </c>
    </row>
    <row r="45" spans="1:24" ht="42" customHeight="1">
      <c r="A45" s="25" t="s">
        <v>546</v>
      </c>
      <c r="B45" s="15" t="s">
        <v>32</v>
      </c>
      <c r="C45" s="15" t="s">
        <v>547</v>
      </c>
      <c r="D45" s="15" t="s">
        <v>470</v>
      </c>
      <c r="E45" s="15" t="s">
        <v>220</v>
      </c>
      <c r="F45" s="15" t="s">
        <v>366</v>
      </c>
      <c r="G45" s="15" t="s">
        <v>548</v>
      </c>
      <c r="H45" s="15" t="s">
        <v>549</v>
      </c>
      <c r="I45" s="15" t="s">
        <v>550</v>
      </c>
      <c r="J45" s="15" t="s">
        <v>120</v>
      </c>
      <c r="K45" s="15" t="s">
        <v>551</v>
      </c>
      <c r="L45" s="15" t="s">
        <v>531</v>
      </c>
      <c r="M45" s="15" t="s">
        <v>552</v>
      </c>
      <c r="N45" s="15" t="s">
        <v>553</v>
      </c>
      <c r="O45" s="31" t="s">
        <v>177</v>
      </c>
      <c r="P45" s="27" t="s">
        <v>177</v>
      </c>
      <c r="Q45" s="15" t="s">
        <v>554</v>
      </c>
      <c r="R45" s="15" t="s">
        <v>127</v>
      </c>
      <c r="S45" s="15" t="s">
        <v>128</v>
      </c>
      <c r="T45" s="15" t="s">
        <v>555</v>
      </c>
      <c r="U45" s="27" t="s">
        <v>556</v>
      </c>
      <c r="V45" s="27" t="s">
        <v>131</v>
      </c>
      <c r="W45" s="27" t="s">
        <v>120</v>
      </c>
      <c r="X45" s="27" t="s">
        <v>270</v>
      </c>
    </row>
    <row r="46" spans="1:24" ht="54" customHeight="1">
      <c r="A46" s="28" t="s">
        <v>557</v>
      </c>
      <c r="B46" s="22" t="s">
        <v>32</v>
      </c>
      <c r="C46" s="22" t="s">
        <v>558</v>
      </c>
      <c r="D46" s="22" t="s">
        <v>470</v>
      </c>
      <c r="E46" s="22" t="s">
        <v>220</v>
      </c>
      <c r="F46" s="22" t="s">
        <v>221</v>
      </c>
      <c r="G46" s="22" t="s">
        <v>559</v>
      </c>
      <c r="H46" s="22" t="s">
        <v>560</v>
      </c>
      <c r="I46" s="22" t="s">
        <v>561</v>
      </c>
      <c r="J46" s="22" t="s">
        <v>562</v>
      </c>
      <c r="K46" s="22" t="s">
        <v>563</v>
      </c>
      <c r="L46" s="22" t="s">
        <v>174</v>
      </c>
      <c r="M46" s="22" t="s">
        <v>564</v>
      </c>
      <c r="N46" s="22" t="s">
        <v>565</v>
      </c>
      <c r="O46" s="30" t="s">
        <v>151</v>
      </c>
      <c r="P46" s="29" t="s">
        <v>151</v>
      </c>
      <c r="Q46" s="22" t="s">
        <v>566</v>
      </c>
      <c r="R46" s="22" t="s">
        <v>230</v>
      </c>
      <c r="S46" s="22" t="s">
        <v>128</v>
      </c>
      <c r="T46" s="22" t="s">
        <v>567</v>
      </c>
      <c r="U46" s="29" t="s">
        <v>165</v>
      </c>
      <c r="V46" s="29" t="s">
        <v>232</v>
      </c>
      <c r="W46" s="33" t="s">
        <v>56</v>
      </c>
      <c r="X46" s="29" t="s">
        <v>132</v>
      </c>
    </row>
    <row r="47" spans="1:24" ht="42" customHeight="1">
      <c r="A47" s="25" t="s">
        <v>568</v>
      </c>
      <c r="B47" s="15" t="s">
        <v>32</v>
      </c>
      <c r="C47" s="15" t="s">
        <v>569</v>
      </c>
      <c r="D47" s="15" t="s">
        <v>570</v>
      </c>
      <c r="E47" s="15" t="s">
        <v>116</v>
      </c>
      <c r="F47" s="15" t="s">
        <v>237</v>
      </c>
      <c r="G47" s="15" t="s">
        <v>571</v>
      </c>
      <c r="H47" s="15" t="s">
        <v>572</v>
      </c>
      <c r="I47" s="15" t="s">
        <v>573</v>
      </c>
      <c r="J47" s="15" t="s">
        <v>120</v>
      </c>
      <c r="K47" s="15" t="s">
        <v>574</v>
      </c>
      <c r="L47" s="15" t="s">
        <v>122</v>
      </c>
      <c r="M47" s="15" t="s">
        <v>575</v>
      </c>
      <c r="N47" s="15" t="s">
        <v>576</v>
      </c>
      <c r="O47" s="31" t="s">
        <v>177</v>
      </c>
      <c r="P47" s="27" t="s">
        <v>177</v>
      </c>
      <c r="Q47" s="15" t="s">
        <v>577</v>
      </c>
      <c r="R47" s="15" t="s">
        <v>202</v>
      </c>
      <c r="S47" s="15" t="s">
        <v>203</v>
      </c>
      <c r="T47" s="15" t="s">
        <v>578</v>
      </c>
      <c r="U47" s="27" t="s">
        <v>130</v>
      </c>
      <c r="V47" s="27" t="s">
        <v>131</v>
      </c>
      <c r="W47" s="27" t="s">
        <v>120</v>
      </c>
      <c r="X47" s="27" t="s">
        <v>270</v>
      </c>
    </row>
    <row r="48" spans="1:24" ht="15.75" customHeight="1">
      <c r="A48" s="12" t="s">
        <v>33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54" customHeight="1">
      <c r="A49" s="25" t="s">
        <v>579</v>
      </c>
      <c r="B49" s="15" t="s">
        <v>33</v>
      </c>
      <c r="C49" s="15" t="s">
        <v>580</v>
      </c>
      <c r="D49" s="15" t="s">
        <v>581</v>
      </c>
      <c r="E49" s="15" t="s">
        <v>116</v>
      </c>
      <c r="F49" s="15" t="s">
        <v>273</v>
      </c>
      <c r="G49" s="15" t="s">
        <v>582</v>
      </c>
      <c r="H49" s="15" t="s">
        <v>583</v>
      </c>
      <c r="I49" s="15" t="s">
        <v>584</v>
      </c>
      <c r="J49" s="15" t="s">
        <v>120</v>
      </c>
      <c r="K49" s="15" t="s">
        <v>585</v>
      </c>
      <c r="L49" s="15" t="s">
        <v>586</v>
      </c>
      <c r="M49" s="15" t="s">
        <v>587</v>
      </c>
      <c r="N49" s="15" t="s">
        <v>588</v>
      </c>
      <c r="O49" s="30" t="s">
        <v>151</v>
      </c>
      <c r="P49" s="27" t="s">
        <v>151</v>
      </c>
      <c r="Q49" s="15" t="s">
        <v>589</v>
      </c>
      <c r="R49" s="15" t="s">
        <v>305</v>
      </c>
      <c r="S49" s="15" t="s">
        <v>203</v>
      </c>
      <c r="T49" s="15" t="s">
        <v>590</v>
      </c>
      <c r="U49" s="27" t="s">
        <v>130</v>
      </c>
      <c r="V49" s="27" t="s">
        <v>232</v>
      </c>
      <c r="W49" s="34" t="s">
        <v>62</v>
      </c>
      <c r="X49" s="27" t="s">
        <v>132</v>
      </c>
    </row>
    <row r="50" spans="1:24" ht="54" customHeight="1">
      <c r="A50" s="28" t="s">
        <v>591</v>
      </c>
      <c r="B50" s="22" t="s">
        <v>33</v>
      </c>
      <c r="C50" s="22" t="s">
        <v>592</v>
      </c>
      <c r="D50" s="22" t="s">
        <v>593</v>
      </c>
      <c r="E50" s="22" t="s">
        <v>116</v>
      </c>
      <c r="F50" s="22" t="s">
        <v>273</v>
      </c>
      <c r="G50" s="22" t="s">
        <v>594</v>
      </c>
      <c r="H50" s="22" t="s">
        <v>595</v>
      </c>
      <c r="I50" s="22" t="s">
        <v>596</v>
      </c>
      <c r="J50" s="22" t="s">
        <v>120</v>
      </c>
      <c r="K50" s="22" t="s">
        <v>597</v>
      </c>
      <c r="L50" s="22" t="s">
        <v>598</v>
      </c>
      <c r="M50" s="22" t="s">
        <v>599</v>
      </c>
      <c r="N50" s="22" t="s">
        <v>600</v>
      </c>
      <c r="O50" s="30" t="s">
        <v>151</v>
      </c>
      <c r="P50" s="29" t="s">
        <v>151</v>
      </c>
      <c r="Q50" s="22" t="s">
        <v>601</v>
      </c>
      <c r="R50" s="22" t="s">
        <v>602</v>
      </c>
      <c r="S50" s="22" t="s">
        <v>203</v>
      </c>
      <c r="T50" s="22" t="s">
        <v>603</v>
      </c>
      <c r="U50" s="29" t="s">
        <v>165</v>
      </c>
      <c r="V50" s="29" t="s">
        <v>131</v>
      </c>
      <c r="W50" s="29" t="s">
        <v>120</v>
      </c>
      <c r="X50" s="29" t="s">
        <v>132</v>
      </c>
    </row>
    <row r="51" spans="1:24" ht="54" customHeight="1">
      <c r="A51" s="25" t="s">
        <v>604</v>
      </c>
      <c r="B51" s="15" t="s">
        <v>33</v>
      </c>
      <c r="C51" s="15" t="s">
        <v>605</v>
      </c>
      <c r="D51" s="15" t="s">
        <v>606</v>
      </c>
      <c r="E51" s="15" t="s">
        <v>220</v>
      </c>
      <c r="F51" s="15" t="s">
        <v>221</v>
      </c>
      <c r="G51" s="15" t="s">
        <v>607</v>
      </c>
      <c r="H51" s="15" t="s">
        <v>608</v>
      </c>
      <c r="I51" s="15" t="s">
        <v>609</v>
      </c>
      <c r="J51" s="15" t="s">
        <v>610</v>
      </c>
      <c r="K51" s="15" t="s">
        <v>611</v>
      </c>
      <c r="L51" s="15" t="s">
        <v>612</v>
      </c>
      <c r="M51" s="15" t="s">
        <v>613</v>
      </c>
      <c r="N51" s="15" t="s">
        <v>614</v>
      </c>
      <c r="O51" s="30" t="s">
        <v>151</v>
      </c>
      <c r="P51" s="27" t="s">
        <v>151</v>
      </c>
      <c r="Q51" s="15" t="s">
        <v>615</v>
      </c>
      <c r="R51" s="15" t="s">
        <v>305</v>
      </c>
      <c r="S51" s="15" t="s">
        <v>128</v>
      </c>
      <c r="T51" s="15" t="s">
        <v>616</v>
      </c>
      <c r="U51" s="27" t="s">
        <v>130</v>
      </c>
      <c r="V51" s="27" t="s">
        <v>232</v>
      </c>
      <c r="W51" s="34" t="s">
        <v>62</v>
      </c>
      <c r="X51" s="27" t="s">
        <v>132</v>
      </c>
    </row>
    <row r="52" spans="1:24" ht="54" customHeight="1">
      <c r="A52" s="28" t="s">
        <v>617</v>
      </c>
      <c r="B52" s="22" t="s">
        <v>33</v>
      </c>
      <c r="C52" s="22" t="s">
        <v>618</v>
      </c>
      <c r="D52" s="22" t="s">
        <v>619</v>
      </c>
      <c r="E52" s="22" t="s">
        <v>220</v>
      </c>
      <c r="F52" s="22" t="s">
        <v>221</v>
      </c>
      <c r="G52" s="22" t="s">
        <v>620</v>
      </c>
      <c r="H52" s="22" t="s">
        <v>621</v>
      </c>
      <c r="I52" s="22" t="s">
        <v>622</v>
      </c>
      <c r="J52" s="22" t="s">
        <v>623</v>
      </c>
      <c r="K52" s="22" t="s">
        <v>624</v>
      </c>
      <c r="L52" s="22" t="s">
        <v>511</v>
      </c>
      <c r="M52" s="22" t="s">
        <v>625</v>
      </c>
      <c r="N52" s="22" t="s">
        <v>626</v>
      </c>
      <c r="O52" s="26" t="s">
        <v>26</v>
      </c>
      <c r="P52" s="29" t="s">
        <v>151</v>
      </c>
      <c r="Q52" s="22" t="s">
        <v>627</v>
      </c>
      <c r="R52" s="22" t="s">
        <v>230</v>
      </c>
      <c r="S52" s="22" t="s">
        <v>128</v>
      </c>
      <c r="T52" s="22" t="s">
        <v>628</v>
      </c>
      <c r="U52" s="29" t="s">
        <v>130</v>
      </c>
      <c r="V52" s="29" t="s">
        <v>232</v>
      </c>
      <c r="W52" s="33" t="s">
        <v>59</v>
      </c>
      <c r="X52" s="29" t="s">
        <v>132</v>
      </c>
    </row>
    <row r="53" spans="1:24" ht="42" customHeight="1">
      <c r="A53" s="25" t="s">
        <v>629</v>
      </c>
      <c r="B53" s="15" t="s">
        <v>33</v>
      </c>
      <c r="C53" s="15" t="s">
        <v>630</v>
      </c>
      <c r="D53" s="15" t="s">
        <v>606</v>
      </c>
      <c r="E53" s="15" t="s">
        <v>220</v>
      </c>
      <c r="F53" s="15" t="s">
        <v>221</v>
      </c>
      <c r="G53" s="15" t="s">
        <v>631</v>
      </c>
      <c r="H53" s="15" t="s">
        <v>632</v>
      </c>
      <c r="I53" s="15" t="s">
        <v>633</v>
      </c>
      <c r="J53" s="15" t="s">
        <v>634</v>
      </c>
      <c r="K53" s="15" t="s">
        <v>635</v>
      </c>
      <c r="L53" s="15" t="s">
        <v>636</v>
      </c>
      <c r="M53" s="15" t="s">
        <v>637</v>
      </c>
      <c r="N53" s="15" t="s">
        <v>638</v>
      </c>
      <c r="O53" s="30" t="s">
        <v>151</v>
      </c>
      <c r="P53" s="27" t="s">
        <v>151</v>
      </c>
      <c r="Q53" s="15" t="s">
        <v>639</v>
      </c>
      <c r="R53" s="15" t="s">
        <v>305</v>
      </c>
      <c r="S53" s="15" t="s">
        <v>128</v>
      </c>
      <c r="T53" s="15" t="s">
        <v>640</v>
      </c>
      <c r="U53" s="27" t="s">
        <v>130</v>
      </c>
      <c r="V53" s="27" t="s">
        <v>232</v>
      </c>
      <c r="W53" s="34" t="s">
        <v>62</v>
      </c>
      <c r="X53" s="27" t="s">
        <v>132</v>
      </c>
    </row>
    <row r="54" spans="1:24" ht="42" customHeight="1">
      <c r="A54" s="28" t="s">
        <v>641</v>
      </c>
      <c r="B54" s="22" t="s">
        <v>33</v>
      </c>
      <c r="C54" s="22" t="s">
        <v>642</v>
      </c>
      <c r="D54" s="22" t="s">
        <v>643</v>
      </c>
      <c r="E54" s="22" t="s">
        <v>344</v>
      </c>
      <c r="F54" s="22" t="s">
        <v>221</v>
      </c>
      <c r="G54" s="22" t="s">
        <v>644</v>
      </c>
      <c r="H54" s="22" t="s">
        <v>645</v>
      </c>
      <c r="I54" s="22" t="s">
        <v>646</v>
      </c>
      <c r="J54" s="22" t="s">
        <v>647</v>
      </c>
      <c r="K54" s="22" t="s">
        <v>648</v>
      </c>
      <c r="L54" s="22" t="s">
        <v>649</v>
      </c>
      <c r="M54" s="22" t="s">
        <v>650</v>
      </c>
      <c r="N54" s="22" t="s">
        <v>651</v>
      </c>
      <c r="O54" s="30" t="s">
        <v>151</v>
      </c>
      <c r="P54" s="29" t="s">
        <v>151</v>
      </c>
      <c r="Q54" s="22" t="s">
        <v>652</v>
      </c>
      <c r="R54" s="22" t="s">
        <v>305</v>
      </c>
      <c r="S54" s="22" t="s">
        <v>154</v>
      </c>
      <c r="T54" s="22" t="s">
        <v>653</v>
      </c>
      <c r="U54" s="29" t="s">
        <v>130</v>
      </c>
      <c r="V54" s="29" t="s">
        <v>232</v>
      </c>
      <c r="W54" s="33" t="s">
        <v>62</v>
      </c>
      <c r="X54" s="29" t="s">
        <v>132</v>
      </c>
    </row>
    <row r="55" spans="1:24" ht="54" customHeight="1">
      <c r="A55" s="25" t="s">
        <v>654</v>
      </c>
      <c r="B55" s="15" t="s">
        <v>33</v>
      </c>
      <c r="C55" s="15" t="s">
        <v>655</v>
      </c>
      <c r="D55" s="15" t="s">
        <v>656</v>
      </c>
      <c r="E55" s="15" t="s">
        <v>220</v>
      </c>
      <c r="F55" s="15" t="s">
        <v>309</v>
      </c>
      <c r="G55" s="15" t="s">
        <v>657</v>
      </c>
      <c r="H55" s="15" t="s">
        <v>658</v>
      </c>
      <c r="I55" s="15" t="s">
        <v>659</v>
      </c>
      <c r="J55" s="15" t="s">
        <v>660</v>
      </c>
      <c r="K55" s="15" t="s">
        <v>661</v>
      </c>
      <c r="L55" s="15" t="s">
        <v>662</v>
      </c>
      <c r="M55" s="15" t="s">
        <v>663</v>
      </c>
      <c r="N55" s="15" t="s">
        <v>664</v>
      </c>
      <c r="O55" s="30" t="s">
        <v>151</v>
      </c>
      <c r="P55" s="27" t="s">
        <v>151</v>
      </c>
      <c r="Q55" s="15" t="s">
        <v>665</v>
      </c>
      <c r="R55" s="15" t="s">
        <v>305</v>
      </c>
      <c r="S55" s="15" t="s">
        <v>203</v>
      </c>
      <c r="T55" s="15" t="s">
        <v>666</v>
      </c>
      <c r="U55" s="27" t="s">
        <v>165</v>
      </c>
      <c r="V55" s="27" t="s">
        <v>232</v>
      </c>
      <c r="W55" s="34" t="s">
        <v>53</v>
      </c>
      <c r="X55" s="27" t="s">
        <v>132</v>
      </c>
    </row>
    <row r="56" spans="1:24" ht="54" customHeight="1">
      <c r="A56" s="28" t="s">
        <v>667</v>
      </c>
      <c r="B56" s="22" t="s">
        <v>33</v>
      </c>
      <c r="C56" s="22" t="s">
        <v>668</v>
      </c>
      <c r="D56" s="22" t="s">
        <v>656</v>
      </c>
      <c r="E56" s="22" t="s">
        <v>220</v>
      </c>
      <c r="F56" s="22" t="s">
        <v>309</v>
      </c>
      <c r="G56" s="22" t="s">
        <v>669</v>
      </c>
      <c r="H56" s="22" t="s">
        <v>670</v>
      </c>
      <c r="I56" s="22" t="s">
        <v>671</v>
      </c>
      <c r="J56" s="22" t="s">
        <v>120</v>
      </c>
      <c r="K56" s="22" t="s">
        <v>672</v>
      </c>
      <c r="L56" s="22" t="s">
        <v>673</v>
      </c>
      <c r="M56" s="22" t="s">
        <v>674</v>
      </c>
      <c r="N56" s="22" t="s">
        <v>675</v>
      </c>
      <c r="O56" s="31" t="s">
        <v>177</v>
      </c>
      <c r="P56" s="29" t="s">
        <v>177</v>
      </c>
      <c r="Q56" s="22" t="s">
        <v>676</v>
      </c>
      <c r="R56" s="22" t="s">
        <v>127</v>
      </c>
      <c r="S56" s="22" t="s">
        <v>154</v>
      </c>
      <c r="T56" s="22" t="s">
        <v>677</v>
      </c>
      <c r="U56" s="29" t="s">
        <v>165</v>
      </c>
      <c r="V56" s="29" t="s">
        <v>131</v>
      </c>
      <c r="W56" s="29" t="s">
        <v>120</v>
      </c>
      <c r="X56" s="29" t="s">
        <v>270</v>
      </c>
    </row>
    <row r="57" spans="1:24" ht="54" customHeight="1">
      <c r="A57" s="25" t="s">
        <v>678</v>
      </c>
      <c r="B57" s="15" t="s">
        <v>33</v>
      </c>
      <c r="C57" s="15" t="s">
        <v>679</v>
      </c>
      <c r="D57" s="15" t="s">
        <v>606</v>
      </c>
      <c r="E57" s="15" t="s">
        <v>220</v>
      </c>
      <c r="F57" s="15" t="s">
        <v>309</v>
      </c>
      <c r="G57" s="15" t="s">
        <v>680</v>
      </c>
      <c r="H57" s="15" t="s">
        <v>681</v>
      </c>
      <c r="I57" s="15" t="s">
        <v>682</v>
      </c>
      <c r="J57" s="15" t="s">
        <v>683</v>
      </c>
      <c r="K57" s="15" t="s">
        <v>684</v>
      </c>
      <c r="L57" s="15" t="s">
        <v>440</v>
      </c>
      <c r="M57" s="15" t="s">
        <v>685</v>
      </c>
      <c r="N57" s="15" t="s">
        <v>686</v>
      </c>
      <c r="O57" s="30" t="s">
        <v>151</v>
      </c>
      <c r="P57" s="27" t="s">
        <v>151</v>
      </c>
      <c r="Q57" s="15" t="s">
        <v>687</v>
      </c>
      <c r="R57" s="15" t="s">
        <v>602</v>
      </c>
      <c r="S57" s="15" t="s">
        <v>203</v>
      </c>
      <c r="T57" s="15" t="s">
        <v>688</v>
      </c>
      <c r="U57" s="27" t="s">
        <v>165</v>
      </c>
      <c r="V57" s="27" t="s">
        <v>232</v>
      </c>
      <c r="W57" s="34" t="s">
        <v>62</v>
      </c>
      <c r="X57" s="27" t="s">
        <v>132</v>
      </c>
    </row>
    <row r="58" spans="1:24" ht="42" customHeight="1">
      <c r="A58" s="28" t="s">
        <v>689</v>
      </c>
      <c r="B58" s="22" t="s">
        <v>33</v>
      </c>
      <c r="C58" s="22" t="s">
        <v>690</v>
      </c>
      <c r="D58" s="22" t="s">
        <v>606</v>
      </c>
      <c r="E58" s="22" t="s">
        <v>116</v>
      </c>
      <c r="F58" s="22" t="s">
        <v>273</v>
      </c>
      <c r="G58" s="22" t="s">
        <v>691</v>
      </c>
      <c r="H58" s="22" t="s">
        <v>692</v>
      </c>
      <c r="I58" s="22" t="s">
        <v>693</v>
      </c>
      <c r="J58" s="22" t="s">
        <v>694</v>
      </c>
      <c r="K58" s="22" t="s">
        <v>695</v>
      </c>
      <c r="L58" s="22" t="s">
        <v>696</v>
      </c>
      <c r="M58" s="22" t="s">
        <v>697</v>
      </c>
      <c r="N58" s="22" t="s">
        <v>698</v>
      </c>
      <c r="O58" s="31" t="s">
        <v>177</v>
      </c>
      <c r="P58" s="29" t="s">
        <v>177</v>
      </c>
      <c r="Q58" s="22" t="s">
        <v>699</v>
      </c>
      <c r="R58" s="22" t="s">
        <v>230</v>
      </c>
      <c r="S58" s="22" t="s">
        <v>128</v>
      </c>
      <c r="T58" s="22" t="s">
        <v>700</v>
      </c>
      <c r="U58" s="29" t="s">
        <v>130</v>
      </c>
      <c r="V58" s="29" t="s">
        <v>131</v>
      </c>
      <c r="W58" s="29" t="s">
        <v>120</v>
      </c>
      <c r="X58" s="29" t="s">
        <v>270</v>
      </c>
    </row>
    <row r="59" spans="1:24" ht="42" customHeight="1">
      <c r="A59" s="25" t="s">
        <v>701</v>
      </c>
      <c r="B59" s="15" t="s">
        <v>33</v>
      </c>
      <c r="C59" s="15" t="s">
        <v>702</v>
      </c>
      <c r="D59" s="15" t="s">
        <v>606</v>
      </c>
      <c r="E59" s="15" t="s">
        <v>220</v>
      </c>
      <c r="F59" s="15" t="s">
        <v>237</v>
      </c>
      <c r="G59" s="15" t="s">
        <v>703</v>
      </c>
      <c r="H59" s="15" t="s">
        <v>704</v>
      </c>
      <c r="I59" s="15" t="s">
        <v>705</v>
      </c>
      <c r="J59" s="15" t="s">
        <v>706</v>
      </c>
      <c r="K59" s="15" t="s">
        <v>707</v>
      </c>
      <c r="L59" s="15" t="s">
        <v>337</v>
      </c>
      <c r="M59" s="15" t="s">
        <v>708</v>
      </c>
      <c r="N59" s="15" t="s">
        <v>709</v>
      </c>
      <c r="O59" s="31" t="s">
        <v>177</v>
      </c>
      <c r="P59" s="27" t="s">
        <v>177</v>
      </c>
      <c r="Q59" s="15" t="s">
        <v>710</v>
      </c>
      <c r="R59" s="15" t="s">
        <v>230</v>
      </c>
      <c r="S59" s="15" t="s">
        <v>128</v>
      </c>
      <c r="T59" s="15" t="s">
        <v>711</v>
      </c>
      <c r="U59" s="27" t="s">
        <v>165</v>
      </c>
      <c r="V59" s="27" t="s">
        <v>131</v>
      </c>
      <c r="W59" s="27" t="s">
        <v>120</v>
      </c>
      <c r="X59" s="27" t="s">
        <v>270</v>
      </c>
    </row>
    <row r="60" spans="1:24" ht="54" customHeight="1">
      <c r="A60" s="28" t="s">
        <v>712</v>
      </c>
      <c r="B60" s="22" t="s">
        <v>33</v>
      </c>
      <c r="C60" s="22" t="s">
        <v>713</v>
      </c>
      <c r="D60" s="22" t="s">
        <v>619</v>
      </c>
      <c r="E60" s="22" t="s">
        <v>220</v>
      </c>
      <c r="F60" s="22" t="s">
        <v>221</v>
      </c>
      <c r="G60" s="22" t="s">
        <v>714</v>
      </c>
      <c r="H60" s="22" t="s">
        <v>715</v>
      </c>
      <c r="I60" s="22" t="s">
        <v>716</v>
      </c>
      <c r="J60" s="22" t="s">
        <v>120</v>
      </c>
      <c r="K60" s="22" t="s">
        <v>717</v>
      </c>
      <c r="L60" s="22" t="s">
        <v>718</v>
      </c>
      <c r="M60" s="22" t="s">
        <v>719</v>
      </c>
      <c r="N60" s="22" t="s">
        <v>720</v>
      </c>
      <c r="O60" s="30" t="s">
        <v>151</v>
      </c>
      <c r="P60" s="29" t="s">
        <v>151</v>
      </c>
      <c r="Q60" s="22" t="s">
        <v>721</v>
      </c>
      <c r="R60" s="22" t="s">
        <v>230</v>
      </c>
      <c r="S60" s="22" t="s">
        <v>128</v>
      </c>
      <c r="T60" s="22" t="s">
        <v>722</v>
      </c>
      <c r="U60" s="29" t="s">
        <v>130</v>
      </c>
      <c r="V60" s="29" t="s">
        <v>131</v>
      </c>
      <c r="W60" s="29" t="s">
        <v>120</v>
      </c>
      <c r="X60" s="29" t="s">
        <v>270</v>
      </c>
    </row>
    <row r="61" spans="1:24" ht="54" customHeight="1">
      <c r="A61" s="25" t="s">
        <v>723</v>
      </c>
      <c r="B61" s="15" t="s">
        <v>33</v>
      </c>
      <c r="C61" s="15" t="s">
        <v>724</v>
      </c>
      <c r="D61" s="15" t="s">
        <v>725</v>
      </c>
      <c r="E61" s="15" t="s">
        <v>220</v>
      </c>
      <c r="F61" s="15" t="s">
        <v>221</v>
      </c>
      <c r="G61" s="15" t="s">
        <v>726</v>
      </c>
      <c r="H61" s="15" t="s">
        <v>727</v>
      </c>
      <c r="I61" s="15" t="s">
        <v>728</v>
      </c>
      <c r="J61" s="15" t="s">
        <v>120</v>
      </c>
      <c r="K61" s="15" t="s">
        <v>729</v>
      </c>
      <c r="L61" s="15" t="s">
        <v>730</v>
      </c>
      <c r="M61" s="15" t="s">
        <v>731</v>
      </c>
      <c r="N61" s="15" t="s">
        <v>732</v>
      </c>
      <c r="O61" s="30" t="s">
        <v>151</v>
      </c>
      <c r="P61" s="27" t="s">
        <v>151</v>
      </c>
      <c r="Q61" s="15" t="s">
        <v>733</v>
      </c>
      <c r="R61" s="15" t="s">
        <v>202</v>
      </c>
      <c r="S61" s="15" t="s">
        <v>203</v>
      </c>
      <c r="T61" s="15" t="s">
        <v>734</v>
      </c>
      <c r="U61" s="27" t="s">
        <v>130</v>
      </c>
      <c r="V61" s="27" t="s">
        <v>131</v>
      </c>
      <c r="W61" s="27" t="s">
        <v>120</v>
      </c>
      <c r="X61" s="27" t="s">
        <v>270</v>
      </c>
    </row>
    <row r="62" spans="1:24" ht="54" customHeight="1">
      <c r="A62" s="28" t="s">
        <v>735</v>
      </c>
      <c r="B62" s="22" t="s">
        <v>33</v>
      </c>
      <c r="C62" s="22" t="s">
        <v>736</v>
      </c>
      <c r="D62" s="22" t="s">
        <v>656</v>
      </c>
      <c r="E62" s="22" t="s">
        <v>116</v>
      </c>
      <c r="F62" s="22" t="s">
        <v>366</v>
      </c>
      <c r="G62" s="22" t="s">
        <v>737</v>
      </c>
      <c r="H62" s="22" t="s">
        <v>738</v>
      </c>
      <c r="I62" s="22" t="s">
        <v>739</v>
      </c>
      <c r="J62" s="22" t="s">
        <v>120</v>
      </c>
      <c r="K62" s="22" t="s">
        <v>740</v>
      </c>
      <c r="L62" s="22" t="s">
        <v>741</v>
      </c>
      <c r="M62" s="22" t="s">
        <v>742</v>
      </c>
      <c r="N62" s="22" t="s">
        <v>743</v>
      </c>
      <c r="O62" s="31" t="s">
        <v>177</v>
      </c>
      <c r="P62" s="29" t="s">
        <v>177</v>
      </c>
      <c r="Q62" s="22" t="s">
        <v>744</v>
      </c>
      <c r="R62" s="22" t="s">
        <v>127</v>
      </c>
      <c r="S62" s="22" t="s">
        <v>128</v>
      </c>
      <c r="T62" s="22" t="s">
        <v>745</v>
      </c>
      <c r="U62" s="29" t="s">
        <v>130</v>
      </c>
      <c r="V62" s="29" t="s">
        <v>131</v>
      </c>
      <c r="W62" s="29" t="s">
        <v>120</v>
      </c>
      <c r="X62" s="29" t="s">
        <v>270</v>
      </c>
    </row>
    <row r="63" spans="1:24" ht="42" customHeight="1">
      <c r="A63" s="25" t="s">
        <v>746</v>
      </c>
      <c r="B63" s="15" t="s">
        <v>33</v>
      </c>
      <c r="C63" s="15" t="s">
        <v>747</v>
      </c>
      <c r="D63" s="15" t="s">
        <v>459</v>
      </c>
      <c r="E63" s="15" t="s">
        <v>748</v>
      </c>
      <c r="F63" s="15" t="s">
        <v>221</v>
      </c>
      <c r="G63" s="15" t="s">
        <v>749</v>
      </c>
      <c r="H63" s="15" t="s">
        <v>750</v>
      </c>
      <c r="I63" s="15" t="s">
        <v>751</v>
      </c>
      <c r="J63" s="15" t="s">
        <v>752</v>
      </c>
      <c r="K63" s="15" t="s">
        <v>753</v>
      </c>
      <c r="L63" s="15" t="s">
        <v>636</v>
      </c>
      <c r="M63" s="15" t="s">
        <v>754</v>
      </c>
      <c r="N63" s="15" t="s">
        <v>755</v>
      </c>
      <c r="O63" s="31" t="s">
        <v>177</v>
      </c>
      <c r="P63" s="27" t="s">
        <v>177</v>
      </c>
      <c r="Q63" s="15" t="s">
        <v>756</v>
      </c>
      <c r="R63" s="15" t="s">
        <v>267</v>
      </c>
      <c r="S63" s="15" t="s">
        <v>268</v>
      </c>
      <c r="T63" s="15" t="s">
        <v>757</v>
      </c>
      <c r="U63" s="27" t="s">
        <v>130</v>
      </c>
      <c r="V63" s="27" t="s">
        <v>131</v>
      </c>
      <c r="W63" s="27" t="s">
        <v>120</v>
      </c>
      <c r="X63" s="27" t="s">
        <v>270</v>
      </c>
    </row>
    <row r="64" spans="1:24" ht="15.75" customHeight="1">
      <c r="A64" s="12" t="s">
        <v>34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ht="54" customHeight="1">
      <c r="A65" s="25" t="s">
        <v>69</v>
      </c>
      <c r="B65" s="15" t="s">
        <v>34</v>
      </c>
      <c r="C65" s="15" t="s">
        <v>758</v>
      </c>
      <c r="D65" s="15" t="s">
        <v>759</v>
      </c>
      <c r="E65" s="15" t="s">
        <v>116</v>
      </c>
      <c r="F65" s="15" t="s">
        <v>248</v>
      </c>
      <c r="G65" s="15" t="s">
        <v>760</v>
      </c>
      <c r="H65" s="15" t="s">
        <v>761</v>
      </c>
      <c r="I65" s="15" t="s">
        <v>120</v>
      </c>
      <c r="J65" s="15" t="s">
        <v>120</v>
      </c>
      <c r="K65" s="15" t="s">
        <v>762</v>
      </c>
      <c r="L65" s="15" t="s">
        <v>763</v>
      </c>
      <c r="M65" s="15" t="s">
        <v>764</v>
      </c>
      <c r="N65" s="15" t="s">
        <v>765</v>
      </c>
      <c r="O65" s="30" t="s">
        <v>151</v>
      </c>
      <c r="P65" s="27" t="s">
        <v>151</v>
      </c>
      <c r="Q65" s="15" t="s">
        <v>766</v>
      </c>
      <c r="R65" s="15" t="s">
        <v>230</v>
      </c>
      <c r="S65" s="15" t="s">
        <v>256</v>
      </c>
      <c r="T65" s="15" t="s">
        <v>767</v>
      </c>
      <c r="U65" s="27" t="s">
        <v>130</v>
      </c>
      <c r="V65" s="27" t="s">
        <v>232</v>
      </c>
      <c r="W65" s="34" t="s">
        <v>68</v>
      </c>
      <c r="X65" s="27" t="s">
        <v>132</v>
      </c>
    </row>
    <row r="66" spans="1:24" ht="42" customHeight="1">
      <c r="A66" s="28" t="s">
        <v>768</v>
      </c>
      <c r="B66" s="22" t="s">
        <v>34</v>
      </c>
      <c r="C66" s="22" t="s">
        <v>769</v>
      </c>
      <c r="D66" s="22" t="s">
        <v>759</v>
      </c>
      <c r="E66" s="22" t="s">
        <v>116</v>
      </c>
      <c r="F66" s="22" t="s">
        <v>273</v>
      </c>
      <c r="G66" s="22" t="s">
        <v>770</v>
      </c>
      <c r="H66" s="22" t="s">
        <v>771</v>
      </c>
      <c r="I66" s="22" t="s">
        <v>120</v>
      </c>
      <c r="J66" s="22" t="s">
        <v>120</v>
      </c>
      <c r="K66" s="22" t="s">
        <v>772</v>
      </c>
      <c r="L66" s="22" t="s">
        <v>773</v>
      </c>
      <c r="M66" s="22" t="s">
        <v>774</v>
      </c>
      <c r="N66" s="22" t="s">
        <v>775</v>
      </c>
      <c r="O66" s="31" t="s">
        <v>177</v>
      </c>
      <c r="P66" s="29" t="s">
        <v>177</v>
      </c>
      <c r="Q66" s="22" t="s">
        <v>776</v>
      </c>
      <c r="R66" s="22" t="s">
        <v>267</v>
      </c>
      <c r="S66" s="22" t="s">
        <v>256</v>
      </c>
      <c r="T66" s="22" t="s">
        <v>777</v>
      </c>
      <c r="U66" s="29" t="s">
        <v>130</v>
      </c>
      <c r="V66" s="29" t="s">
        <v>131</v>
      </c>
      <c r="W66" s="29" t="s">
        <v>120</v>
      </c>
      <c r="X66" s="29" t="s">
        <v>270</v>
      </c>
    </row>
    <row r="67" spans="1:24" ht="54" customHeight="1">
      <c r="A67" s="25" t="s">
        <v>778</v>
      </c>
      <c r="B67" s="15" t="s">
        <v>34</v>
      </c>
      <c r="C67" s="15" t="s">
        <v>779</v>
      </c>
      <c r="D67" s="15" t="s">
        <v>780</v>
      </c>
      <c r="E67" s="15" t="s">
        <v>116</v>
      </c>
      <c r="F67" s="15" t="s">
        <v>309</v>
      </c>
      <c r="G67" s="15" t="s">
        <v>781</v>
      </c>
      <c r="H67" s="15" t="s">
        <v>782</v>
      </c>
      <c r="I67" s="15" t="s">
        <v>783</v>
      </c>
      <c r="J67" s="15" t="s">
        <v>120</v>
      </c>
      <c r="K67" s="15" t="s">
        <v>784</v>
      </c>
      <c r="L67" s="15" t="s">
        <v>785</v>
      </c>
      <c r="M67" s="15" t="s">
        <v>786</v>
      </c>
      <c r="N67" s="15" t="s">
        <v>787</v>
      </c>
      <c r="O67" s="30" t="s">
        <v>151</v>
      </c>
      <c r="P67" s="27" t="s">
        <v>151</v>
      </c>
      <c r="Q67" s="15" t="s">
        <v>788</v>
      </c>
      <c r="R67" s="15" t="s">
        <v>230</v>
      </c>
      <c r="S67" s="15" t="s">
        <v>128</v>
      </c>
      <c r="T67" s="15" t="s">
        <v>789</v>
      </c>
      <c r="U67" s="27" t="s">
        <v>165</v>
      </c>
      <c r="V67" s="27" t="s">
        <v>232</v>
      </c>
      <c r="W67" s="34" t="s">
        <v>53</v>
      </c>
      <c r="X67" s="27" t="s">
        <v>132</v>
      </c>
    </row>
    <row r="68" spans="1:24" ht="138" customHeight="1">
      <c r="A68" s="28" t="s">
        <v>790</v>
      </c>
      <c r="B68" s="22" t="s">
        <v>34</v>
      </c>
      <c r="C68" s="22" t="s">
        <v>791</v>
      </c>
      <c r="D68" s="22" t="s">
        <v>780</v>
      </c>
      <c r="E68" s="22" t="s">
        <v>116</v>
      </c>
      <c r="F68" s="22" t="s">
        <v>309</v>
      </c>
      <c r="G68" s="22" t="s">
        <v>792</v>
      </c>
      <c r="H68" s="22" t="s">
        <v>793</v>
      </c>
      <c r="I68" s="22" t="s">
        <v>120</v>
      </c>
      <c r="J68" s="22" t="s">
        <v>120</v>
      </c>
      <c r="K68" s="22" t="s">
        <v>794</v>
      </c>
      <c r="L68" s="22" t="s">
        <v>326</v>
      </c>
      <c r="M68" s="22" t="s">
        <v>795</v>
      </c>
      <c r="N68" s="22" t="s">
        <v>796</v>
      </c>
      <c r="O68" s="30" t="s">
        <v>151</v>
      </c>
      <c r="P68" s="29" t="s">
        <v>151</v>
      </c>
      <c r="Q68" s="22" t="s">
        <v>797</v>
      </c>
      <c r="R68" s="22" t="s">
        <v>230</v>
      </c>
      <c r="S68" s="22" t="s">
        <v>128</v>
      </c>
      <c r="T68" s="22" t="s">
        <v>353</v>
      </c>
      <c r="U68" s="29" t="s">
        <v>130</v>
      </c>
      <c r="V68" s="29" t="s">
        <v>131</v>
      </c>
      <c r="W68" s="29" t="s">
        <v>120</v>
      </c>
      <c r="X68" s="29" t="s">
        <v>132</v>
      </c>
    </row>
    <row r="69" spans="1:24" ht="42" customHeight="1">
      <c r="A69" s="25" t="s">
        <v>798</v>
      </c>
      <c r="B69" s="15" t="s">
        <v>34</v>
      </c>
      <c r="C69" s="15" t="s">
        <v>799</v>
      </c>
      <c r="D69" s="15" t="s">
        <v>800</v>
      </c>
      <c r="E69" s="15" t="s">
        <v>116</v>
      </c>
      <c r="F69" s="15" t="s">
        <v>309</v>
      </c>
      <c r="G69" s="15" t="s">
        <v>801</v>
      </c>
      <c r="H69" s="15" t="s">
        <v>802</v>
      </c>
      <c r="I69" s="15" t="s">
        <v>120</v>
      </c>
      <c r="J69" s="15" t="s">
        <v>120</v>
      </c>
      <c r="K69" s="15" t="s">
        <v>803</v>
      </c>
      <c r="L69" s="15" t="s">
        <v>804</v>
      </c>
      <c r="M69" s="15" t="s">
        <v>805</v>
      </c>
      <c r="N69" s="15" t="s">
        <v>806</v>
      </c>
      <c r="O69" s="31" t="s">
        <v>177</v>
      </c>
      <c r="P69" s="27" t="s">
        <v>177</v>
      </c>
      <c r="Q69" s="15" t="s">
        <v>807</v>
      </c>
      <c r="R69" s="15" t="s">
        <v>230</v>
      </c>
      <c r="S69" s="15" t="s">
        <v>256</v>
      </c>
      <c r="T69" s="15" t="s">
        <v>808</v>
      </c>
      <c r="U69" s="27" t="s">
        <v>165</v>
      </c>
      <c r="V69" s="27" t="s">
        <v>131</v>
      </c>
      <c r="W69" s="27" t="s">
        <v>120</v>
      </c>
      <c r="X69" s="27" t="s">
        <v>270</v>
      </c>
    </row>
    <row r="70" spans="1:24" ht="54" customHeight="1">
      <c r="A70" s="28" t="s">
        <v>809</v>
      </c>
      <c r="B70" s="22" t="s">
        <v>34</v>
      </c>
      <c r="C70" s="22" t="s">
        <v>810</v>
      </c>
      <c r="D70" s="22" t="s">
        <v>811</v>
      </c>
      <c r="E70" s="22" t="s">
        <v>116</v>
      </c>
      <c r="F70" s="22" t="s">
        <v>237</v>
      </c>
      <c r="G70" s="22" t="s">
        <v>812</v>
      </c>
      <c r="H70" s="22" t="s">
        <v>813</v>
      </c>
      <c r="I70" s="22" t="s">
        <v>120</v>
      </c>
      <c r="J70" s="22" t="s">
        <v>120</v>
      </c>
      <c r="K70" s="22" t="s">
        <v>814</v>
      </c>
      <c r="L70" s="22" t="s">
        <v>815</v>
      </c>
      <c r="M70" s="22" t="s">
        <v>816</v>
      </c>
      <c r="N70" s="22" t="s">
        <v>817</v>
      </c>
      <c r="O70" s="32" t="s">
        <v>213</v>
      </c>
      <c r="P70" s="29" t="s">
        <v>177</v>
      </c>
      <c r="Q70" s="22" t="s">
        <v>818</v>
      </c>
      <c r="R70" s="22" t="s">
        <v>267</v>
      </c>
      <c r="S70" s="22" t="s">
        <v>256</v>
      </c>
      <c r="T70" s="22" t="s">
        <v>777</v>
      </c>
      <c r="U70" s="29" t="s">
        <v>165</v>
      </c>
      <c r="V70" s="29" t="s">
        <v>131</v>
      </c>
      <c r="W70" s="29" t="s">
        <v>120</v>
      </c>
      <c r="X70" s="29" t="s">
        <v>216</v>
      </c>
    </row>
    <row r="71" spans="1:24" ht="54" customHeight="1">
      <c r="A71" s="25" t="s">
        <v>819</v>
      </c>
      <c r="B71" s="15" t="s">
        <v>34</v>
      </c>
      <c r="C71" s="15" t="s">
        <v>820</v>
      </c>
      <c r="D71" s="15" t="s">
        <v>821</v>
      </c>
      <c r="E71" s="15" t="s">
        <v>116</v>
      </c>
      <c r="F71" s="15" t="s">
        <v>248</v>
      </c>
      <c r="G71" s="15" t="s">
        <v>822</v>
      </c>
      <c r="H71" s="15" t="s">
        <v>823</v>
      </c>
      <c r="I71" s="15" t="s">
        <v>120</v>
      </c>
      <c r="J71" s="15" t="s">
        <v>120</v>
      </c>
      <c r="K71" s="15" t="s">
        <v>824</v>
      </c>
      <c r="L71" s="15" t="s">
        <v>263</v>
      </c>
      <c r="M71" s="15" t="s">
        <v>825</v>
      </c>
      <c r="N71" s="15" t="s">
        <v>826</v>
      </c>
      <c r="O71" s="26" t="s">
        <v>26</v>
      </c>
      <c r="P71" s="27" t="s">
        <v>827</v>
      </c>
      <c r="Q71" s="15" t="s">
        <v>828</v>
      </c>
      <c r="R71" s="15" t="s">
        <v>230</v>
      </c>
      <c r="S71" s="15" t="s">
        <v>128</v>
      </c>
      <c r="T71" s="15" t="s">
        <v>829</v>
      </c>
      <c r="U71" s="27" t="s">
        <v>165</v>
      </c>
      <c r="V71" s="27" t="s">
        <v>131</v>
      </c>
      <c r="W71" s="27" t="s">
        <v>120</v>
      </c>
      <c r="X71" s="27" t="s">
        <v>132</v>
      </c>
    </row>
    <row r="72" spans="1:24" ht="54" customHeight="1">
      <c r="A72" s="28" t="s">
        <v>830</v>
      </c>
      <c r="B72" s="22" t="s">
        <v>34</v>
      </c>
      <c r="C72" s="22" t="s">
        <v>831</v>
      </c>
      <c r="D72" s="22" t="s">
        <v>832</v>
      </c>
      <c r="E72" s="22" t="s">
        <v>116</v>
      </c>
      <c r="F72" s="22" t="s">
        <v>366</v>
      </c>
      <c r="G72" s="22" t="s">
        <v>833</v>
      </c>
      <c r="H72" s="22" t="s">
        <v>834</v>
      </c>
      <c r="I72" s="22" t="s">
        <v>120</v>
      </c>
      <c r="J72" s="22" t="s">
        <v>120</v>
      </c>
      <c r="K72" s="22" t="s">
        <v>835</v>
      </c>
      <c r="L72" s="22" t="s">
        <v>836</v>
      </c>
      <c r="M72" s="22" t="s">
        <v>837</v>
      </c>
      <c r="N72" s="22" t="s">
        <v>838</v>
      </c>
      <c r="O72" s="30" t="s">
        <v>151</v>
      </c>
      <c r="P72" s="29" t="s">
        <v>151</v>
      </c>
      <c r="Q72" s="22" t="s">
        <v>839</v>
      </c>
      <c r="R72" s="22" t="s">
        <v>267</v>
      </c>
      <c r="S72" s="22" t="s">
        <v>256</v>
      </c>
      <c r="T72" s="22" t="s">
        <v>840</v>
      </c>
      <c r="U72" s="29" t="s">
        <v>130</v>
      </c>
      <c r="V72" s="29" t="s">
        <v>131</v>
      </c>
      <c r="W72" s="29" t="s">
        <v>120</v>
      </c>
      <c r="X72" s="29" t="s">
        <v>270</v>
      </c>
    </row>
    <row r="73" spans="1:24" ht="54" customHeight="1">
      <c r="A73" s="25" t="s">
        <v>841</v>
      </c>
      <c r="B73" s="15" t="s">
        <v>34</v>
      </c>
      <c r="C73" s="15" t="s">
        <v>842</v>
      </c>
      <c r="D73" s="15" t="s">
        <v>843</v>
      </c>
      <c r="E73" s="15" t="s">
        <v>116</v>
      </c>
      <c r="F73" s="15" t="s">
        <v>237</v>
      </c>
      <c r="G73" s="15" t="s">
        <v>844</v>
      </c>
      <c r="H73" s="15" t="s">
        <v>845</v>
      </c>
      <c r="I73" s="15" t="s">
        <v>120</v>
      </c>
      <c r="J73" s="15" t="s">
        <v>120</v>
      </c>
      <c r="K73" s="15" t="s">
        <v>846</v>
      </c>
      <c r="L73" s="15" t="s">
        <v>847</v>
      </c>
      <c r="M73" s="15" t="s">
        <v>848</v>
      </c>
      <c r="N73" s="15" t="s">
        <v>849</v>
      </c>
      <c r="O73" s="32" t="s">
        <v>213</v>
      </c>
      <c r="P73" s="27" t="s">
        <v>213</v>
      </c>
      <c r="Q73" s="15" t="s">
        <v>850</v>
      </c>
      <c r="R73" s="15" t="s">
        <v>267</v>
      </c>
      <c r="S73" s="15" t="s">
        <v>256</v>
      </c>
      <c r="T73" s="15" t="s">
        <v>777</v>
      </c>
      <c r="U73" s="27" t="s">
        <v>165</v>
      </c>
      <c r="V73" s="27" t="s">
        <v>131</v>
      </c>
      <c r="W73" s="27" t="s">
        <v>120</v>
      </c>
      <c r="X73" s="27" t="s">
        <v>216</v>
      </c>
    </row>
    <row r="74" spans="1:24" ht="54" customHeight="1">
      <c r="A74" s="28" t="s">
        <v>851</v>
      </c>
      <c r="B74" s="22" t="s">
        <v>34</v>
      </c>
      <c r="C74" s="22" t="s">
        <v>852</v>
      </c>
      <c r="D74" s="22" t="s">
        <v>853</v>
      </c>
      <c r="E74" s="22" t="s">
        <v>116</v>
      </c>
      <c r="F74" s="22" t="s">
        <v>237</v>
      </c>
      <c r="G74" s="22" t="s">
        <v>854</v>
      </c>
      <c r="H74" s="22" t="s">
        <v>855</v>
      </c>
      <c r="I74" s="22" t="s">
        <v>856</v>
      </c>
      <c r="J74" s="22" t="s">
        <v>120</v>
      </c>
      <c r="K74" s="22" t="s">
        <v>857</v>
      </c>
      <c r="L74" s="22" t="s">
        <v>858</v>
      </c>
      <c r="M74" s="22" t="s">
        <v>859</v>
      </c>
      <c r="N74" s="22" t="s">
        <v>860</v>
      </c>
      <c r="O74" s="30" t="s">
        <v>151</v>
      </c>
      <c r="P74" s="29" t="s">
        <v>151</v>
      </c>
      <c r="Q74" s="22" t="s">
        <v>861</v>
      </c>
      <c r="R74" s="22" t="s">
        <v>230</v>
      </c>
      <c r="S74" s="22" t="s">
        <v>128</v>
      </c>
      <c r="T74" s="22" t="s">
        <v>862</v>
      </c>
      <c r="U74" s="29" t="s">
        <v>130</v>
      </c>
      <c r="V74" s="29" t="s">
        <v>131</v>
      </c>
      <c r="W74" s="29" t="s">
        <v>120</v>
      </c>
      <c r="X74" s="29" t="s">
        <v>270</v>
      </c>
    </row>
    <row r="75" spans="1:24" ht="54" customHeight="1">
      <c r="A75" s="25" t="s">
        <v>863</v>
      </c>
      <c r="B75" s="15" t="s">
        <v>34</v>
      </c>
      <c r="C75" s="15" t="s">
        <v>864</v>
      </c>
      <c r="D75" s="15" t="s">
        <v>247</v>
      </c>
      <c r="E75" s="15" t="s">
        <v>116</v>
      </c>
      <c r="F75" s="15" t="s">
        <v>865</v>
      </c>
      <c r="G75" s="15" t="s">
        <v>866</v>
      </c>
      <c r="H75" s="15" t="s">
        <v>867</v>
      </c>
      <c r="I75" s="15" t="s">
        <v>868</v>
      </c>
      <c r="J75" s="15" t="s">
        <v>120</v>
      </c>
      <c r="K75" s="15" t="s">
        <v>869</v>
      </c>
      <c r="L75" s="15" t="s">
        <v>870</v>
      </c>
      <c r="M75" s="15" t="s">
        <v>871</v>
      </c>
      <c r="N75" s="15" t="s">
        <v>872</v>
      </c>
      <c r="O75" s="31" t="s">
        <v>177</v>
      </c>
      <c r="P75" s="27" t="s">
        <v>177</v>
      </c>
      <c r="Q75" s="15" t="s">
        <v>873</v>
      </c>
      <c r="R75" s="15" t="s">
        <v>230</v>
      </c>
      <c r="S75" s="15" t="s">
        <v>256</v>
      </c>
      <c r="T75" s="15" t="s">
        <v>874</v>
      </c>
      <c r="U75" s="27" t="s">
        <v>130</v>
      </c>
      <c r="V75" s="27" t="s">
        <v>131</v>
      </c>
      <c r="W75" s="27" t="s">
        <v>120</v>
      </c>
      <c r="X75" s="27" t="s">
        <v>270</v>
      </c>
    </row>
    <row r="76" spans="1:24" ht="42" customHeight="1">
      <c r="A76" s="28" t="s">
        <v>875</v>
      </c>
      <c r="B76" s="22" t="s">
        <v>34</v>
      </c>
      <c r="C76" s="22" t="s">
        <v>876</v>
      </c>
      <c r="D76" s="22" t="s">
        <v>780</v>
      </c>
      <c r="E76" s="22" t="s">
        <v>116</v>
      </c>
      <c r="F76" s="22" t="s">
        <v>389</v>
      </c>
      <c r="G76" s="22" t="s">
        <v>877</v>
      </c>
      <c r="H76" s="22" t="s">
        <v>878</v>
      </c>
      <c r="I76" s="22" t="s">
        <v>120</v>
      </c>
      <c r="J76" s="22" t="s">
        <v>120</v>
      </c>
      <c r="K76" s="22" t="s">
        <v>879</v>
      </c>
      <c r="L76" s="22" t="s">
        <v>880</v>
      </c>
      <c r="M76" s="22" t="s">
        <v>881</v>
      </c>
      <c r="N76" s="22" t="s">
        <v>882</v>
      </c>
      <c r="O76" s="31" t="s">
        <v>177</v>
      </c>
      <c r="P76" s="29" t="s">
        <v>177</v>
      </c>
      <c r="Q76" s="22" t="s">
        <v>883</v>
      </c>
      <c r="R76" s="22" t="s">
        <v>267</v>
      </c>
      <c r="S76" s="22" t="s">
        <v>154</v>
      </c>
      <c r="T76" s="22" t="s">
        <v>884</v>
      </c>
      <c r="U76" s="29" t="s">
        <v>130</v>
      </c>
      <c r="V76" s="29" t="s">
        <v>131</v>
      </c>
      <c r="W76" s="29" t="s">
        <v>120</v>
      </c>
      <c r="X76" s="29" t="s">
        <v>270</v>
      </c>
    </row>
    <row r="77" spans="1:24" ht="66" customHeight="1">
      <c r="A77" s="25" t="s">
        <v>885</v>
      </c>
      <c r="B77" s="15" t="s">
        <v>34</v>
      </c>
      <c r="C77" s="15" t="s">
        <v>886</v>
      </c>
      <c r="D77" s="15" t="s">
        <v>219</v>
      </c>
      <c r="E77" s="15" t="s">
        <v>297</v>
      </c>
      <c r="F77" s="15" t="s">
        <v>237</v>
      </c>
      <c r="G77" s="15" t="s">
        <v>887</v>
      </c>
      <c r="H77" s="15" t="s">
        <v>888</v>
      </c>
      <c r="I77" s="15" t="s">
        <v>889</v>
      </c>
      <c r="J77" s="15" t="s">
        <v>890</v>
      </c>
      <c r="K77" s="15" t="s">
        <v>891</v>
      </c>
      <c r="L77" s="15" t="s">
        <v>279</v>
      </c>
      <c r="M77" s="15" t="s">
        <v>892</v>
      </c>
      <c r="N77" s="15" t="s">
        <v>893</v>
      </c>
      <c r="O77" s="31" t="s">
        <v>177</v>
      </c>
      <c r="P77" s="27" t="s">
        <v>177</v>
      </c>
      <c r="Q77" s="15" t="s">
        <v>894</v>
      </c>
      <c r="R77" s="15" t="s">
        <v>305</v>
      </c>
      <c r="S77" s="15" t="s">
        <v>154</v>
      </c>
      <c r="T77" s="15" t="s">
        <v>895</v>
      </c>
      <c r="U77" s="27" t="s">
        <v>165</v>
      </c>
      <c r="V77" s="27" t="s">
        <v>131</v>
      </c>
      <c r="W77" s="27" t="s">
        <v>120</v>
      </c>
      <c r="X77" s="27" t="s">
        <v>270</v>
      </c>
    </row>
    <row r="78" spans="1:24" ht="54" customHeight="1">
      <c r="A78" s="28" t="s">
        <v>896</v>
      </c>
      <c r="B78" s="22" t="s">
        <v>34</v>
      </c>
      <c r="C78" s="22" t="s">
        <v>897</v>
      </c>
      <c r="D78" s="22" t="s">
        <v>898</v>
      </c>
      <c r="E78" s="22" t="s">
        <v>116</v>
      </c>
      <c r="F78" s="22" t="s">
        <v>221</v>
      </c>
      <c r="G78" s="22" t="s">
        <v>899</v>
      </c>
      <c r="H78" s="22" t="s">
        <v>900</v>
      </c>
      <c r="I78" s="22" t="s">
        <v>901</v>
      </c>
      <c r="J78" s="22" t="s">
        <v>623</v>
      </c>
      <c r="K78" s="22" t="s">
        <v>902</v>
      </c>
      <c r="L78" s="22" t="s">
        <v>730</v>
      </c>
      <c r="M78" s="22" t="s">
        <v>903</v>
      </c>
      <c r="N78" s="22" t="s">
        <v>904</v>
      </c>
      <c r="O78" s="31" t="s">
        <v>177</v>
      </c>
      <c r="P78" s="29" t="s">
        <v>177</v>
      </c>
      <c r="Q78" s="22" t="s">
        <v>905</v>
      </c>
      <c r="R78" s="22" t="s">
        <v>267</v>
      </c>
      <c r="S78" s="22" t="s">
        <v>256</v>
      </c>
      <c r="T78" s="22" t="s">
        <v>906</v>
      </c>
      <c r="U78" s="29" t="s">
        <v>165</v>
      </c>
      <c r="V78" s="29" t="s">
        <v>131</v>
      </c>
      <c r="W78" s="29" t="s">
        <v>120</v>
      </c>
      <c r="X78" s="29" t="s">
        <v>216</v>
      </c>
    </row>
    <row r="79" spans="1:24" ht="15.75" customHeight="1">
      <c r="A79" s="12" t="s">
        <v>35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90" customHeight="1">
      <c r="A80" s="28" t="s">
        <v>907</v>
      </c>
      <c r="B80" s="22" t="s">
        <v>35</v>
      </c>
      <c r="C80" s="22" t="s">
        <v>908</v>
      </c>
      <c r="D80" s="22" t="s">
        <v>909</v>
      </c>
      <c r="E80" s="22" t="s">
        <v>297</v>
      </c>
      <c r="F80" s="22" t="s">
        <v>910</v>
      </c>
      <c r="G80" s="22" t="s">
        <v>911</v>
      </c>
      <c r="H80" s="22" t="s">
        <v>912</v>
      </c>
      <c r="I80" s="22" t="s">
        <v>913</v>
      </c>
      <c r="J80" s="22" t="s">
        <v>120</v>
      </c>
      <c r="K80" s="22" t="s">
        <v>914</v>
      </c>
      <c r="L80" s="22" t="s">
        <v>915</v>
      </c>
      <c r="M80" s="22" t="s">
        <v>916</v>
      </c>
      <c r="N80" s="22" t="s">
        <v>917</v>
      </c>
      <c r="O80" s="26" t="s">
        <v>26</v>
      </c>
      <c r="P80" s="29" t="s">
        <v>151</v>
      </c>
      <c r="Q80" s="22" t="s">
        <v>918</v>
      </c>
      <c r="R80" s="22" t="s">
        <v>305</v>
      </c>
      <c r="S80" s="22" t="s">
        <v>154</v>
      </c>
      <c r="T80" s="22" t="s">
        <v>919</v>
      </c>
      <c r="U80" s="29" t="s">
        <v>130</v>
      </c>
      <c r="V80" s="29" t="s">
        <v>232</v>
      </c>
      <c r="W80" s="33" t="s">
        <v>65</v>
      </c>
      <c r="X80" s="29" t="s">
        <v>132</v>
      </c>
    </row>
    <row r="81" spans="1:24" ht="54" customHeight="1">
      <c r="A81" s="25" t="s">
        <v>920</v>
      </c>
      <c r="B81" s="15" t="s">
        <v>35</v>
      </c>
      <c r="C81" s="15" t="s">
        <v>921</v>
      </c>
      <c r="D81" s="15" t="s">
        <v>909</v>
      </c>
      <c r="E81" s="15" t="s">
        <v>297</v>
      </c>
      <c r="F81" s="15" t="s">
        <v>910</v>
      </c>
      <c r="G81" s="15" t="s">
        <v>922</v>
      </c>
      <c r="H81" s="15" t="s">
        <v>923</v>
      </c>
      <c r="I81" s="15" t="s">
        <v>924</v>
      </c>
      <c r="J81" s="15" t="s">
        <v>120</v>
      </c>
      <c r="K81" s="15" t="s">
        <v>925</v>
      </c>
      <c r="L81" s="15" t="s">
        <v>926</v>
      </c>
      <c r="M81" s="15" t="s">
        <v>927</v>
      </c>
      <c r="N81" s="15" t="s">
        <v>928</v>
      </c>
      <c r="O81" s="26" t="s">
        <v>26</v>
      </c>
      <c r="P81" s="27" t="s">
        <v>151</v>
      </c>
      <c r="Q81" s="15" t="s">
        <v>929</v>
      </c>
      <c r="R81" s="15" t="s">
        <v>305</v>
      </c>
      <c r="S81" s="15" t="s">
        <v>154</v>
      </c>
      <c r="T81" s="15" t="s">
        <v>930</v>
      </c>
      <c r="U81" s="27" t="s">
        <v>130</v>
      </c>
      <c r="V81" s="27" t="s">
        <v>232</v>
      </c>
      <c r="W81" s="34" t="s">
        <v>65</v>
      </c>
      <c r="X81" s="27" t="s">
        <v>132</v>
      </c>
    </row>
    <row r="82" spans="1:24" ht="126" customHeight="1">
      <c r="A82" s="28" t="s">
        <v>931</v>
      </c>
      <c r="B82" s="22" t="s">
        <v>35</v>
      </c>
      <c r="C82" s="22" t="s">
        <v>932</v>
      </c>
      <c r="D82" s="22" t="s">
        <v>909</v>
      </c>
      <c r="E82" s="22" t="s">
        <v>116</v>
      </c>
      <c r="F82" s="22" t="s">
        <v>237</v>
      </c>
      <c r="G82" s="22" t="s">
        <v>933</v>
      </c>
      <c r="H82" s="22" t="s">
        <v>934</v>
      </c>
      <c r="I82" s="22" t="s">
        <v>935</v>
      </c>
      <c r="J82" s="22" t="s">
        <v>120</v>
      </c>
      <c r="K82" s="22" t="s">
        <v>936</v>
      </c>
      <c r="L82" s="22" t="s">
        <v>937</v>
      </c>
      <c r="M82" s="22" t="s">
        <v>938</v>
      </c>
      <c r="N82" s="22" t="s">
        <v>939</v>
      </c>
      <c r="O82" s="30" t="s">
        <v>151</v>
      </c>
      <c r="P82" s="29" t="s">
        <v>151</v>
      </c>
      <c r="Q82" s="22" t="s">
        <v>940</v>
      </c>
      <c r="R82" s="22" t="s">
        <v>941</v>
      </c>
      <c r="S82" s="22" t="s">
        <v>154</v>
      </c>
      <c r="T82" s="22" t="s">
        <v>942</v>
      </c>
      <c r="U82" s="29" t="s">
        <v>165</v>
      </c>
      <c r="V82" s="29" t="s">
        <v>131</v>
      </c>
      <c r="W82" s="29" t="s">
        <v>120</v>
      </c>
      <c r="X82" s="29" t="s">
        <v>132</v>
      </c>
    </row>
    <row r="83" spans="1:24" ht="54" customHeight="1">
      <c r="A83" s="25" t="s">
        <v>943</v>
      </c>
      <c r="B83" s="15" t="s">
        <v>35</v>
      </c>
      <c r="C83" s="15" t="s">
        <v>944</v>
      </c>
      <c r="D83" s="15" t="s">
        <v>945</v>
      </c>
      <c r="E83" s="15" t="s">
        <v>116</v>
      </c>
      <c r="F83" s="15" t="s">
        <v>910</v>
      </c>
      <c r="G83" s="15" t="s">
        <v>946</v>
      </c>
      <c r="H83" s="15" t="s">
        <v>947</v>
      </c>
      <c r="I83" s="15" t="s">
        <v>948</v>
      </c>
      <c r="J83" s="15" t="s">
        <v>120</v>
      </c>
      <c r="K83" s="15" t="s">
        <v>949</v>
      </c>
      <c r="L83" s="15" t="s">
        <v>950</v>
      </c>
      <c r="M83" s="15" t="s">
        <v>951</v>
      </c>
      <c r="N83" s="15" t="s">
        <v>952</v>
      </c>
      <c r="O83" s="31" t="s">
        <v>177</v>
      </c>
      <c r="P83" s="27" t="s">
        <v>177</v>
      </c>
      <c r="Q83" s="15" t="s">
        <v>953</v>
      </c>
      <c r="R83" s="15" t="s">
        <v>202</v>
      </c>
      <c r="S83" s="15" t="s">
        <v>203</v>
      </c>
      <c r="T83" s="15" t="s">
        <v>954</v>
      </c>
      <c r="U83" s="27" t="s">
        <v>165</v>
      </c>
      <c r="V83" s="27" t="s">
        <v>131</v>
      </c>
      <c r="W83" s="27" t="s">
        <v>120</v>
      </c>
      <c r="X83" s="27" t="s">
        <v>270</v>
      </c>
    </row>
    <row r="84" spans="1:24" ht="54" customHeight="1">
      <c r="A84" s="28" t="s">
        <v>955</v>
      </c>
      <c r="B84" s="22" t="s">
        <v>35</v>
      </c>
      <c r="C84" s="22" t="s">
        <v>956</v>
      </c>
      <c r="D84" s="22" t="s">
        <v>909</v>
      </c>
      <c r="E84" s="22" t="s">
        <v>220</v>
      </c>
      <c r="F84" s="22" t="s">
        <v>910</v>
      </c>
      <c r="G84" s="22" t="s">
        <v>957</v>
      </c>
      <c r="H84" s="22" t="s">
        <v>958</v>
      </c>
      <c r="I84" s="22" t="s">
        <v>959</v>
      </c>
      <c r="J84" s="22" t="s">
        <v>120</v>
      </c>
      <c r="K84" s="22" t="s">
        <v>960</v>
      </c>
      <c r="L84" s="22" t="s">
        <v>961</v>
      </c>
      <c r="M84" s="22" t="s">
        <v>962</v>
      </c>
      <c r="N84" s="22" t="s">
        <v>963</v>
      </c>
      <c r="O84" s="26" t="s">
        <v>26</v>
      </c>
      <c r="P84" s="29" t="s">
        <v>151</v>
      </c>
      <c r="Q84" s="22" t="s">
        <v>964</v>
      </c>
      <c r="R84" s="22" t="s">
        <v>202</v>
      </c>
      <c r="S84" s="22" t="s">
        <v>203</v>
      </c>
      <c r="T84" s="22" t="s">
        <v>965</v>
      </c>
      <c r="U84" s="29" t="s">
        <v>130</v>
      </c>
      <c r="V84" s="29" t="s">
        <v>232</v>
      </c>
      <c r="W84" s="33" t="s">
        <v>65</v>
      </c>
      <c r="X84" s="29" t="s">
        <v>132</v>
      </c>
    </row>
    <row r="85" spans="1:24" ht="54" customHeight="1">
      <c r="A85" s="25" t="s">
        <v>966</v>
      </c>
      <c r="B85" s="15" t="s">
        <v>35</v>
      </c>
      <c r="C85" s="15" t="s">
        <v>967</v>
      </c>
      <c r="D85" s="15" t="s">
        <v>909</v>
      </c>
      <c r="E85" s="15" t="s">
        <v>116</v>
      </c>
      <c r="F85" s="15" t="s">
        <v>910</v>
      </c>
      <c r="G85" s="15" t="s">
        <v>968</v>
      </c>
      <c r="H85" s="15" t="s">
        <v>969</v>
      </c>
      <c r="I85" s="15" t="s">
        <v>970</v>
      </c>
      <c r="J85" s="15" t="s">
        <v>120</v>
      </c>
      <c r="K85" s="15" t="s">
        <v>971</v>
      </c>
      <c r="L85" s="15" t="s">
        <v>972</v>
      </c>
      <c r="M85" s="15" t="s">
        <v>973</v>
      </c>
      <c r="N85" s="15" t="s">
        <v>974</v>
      </c>
      <c r="O85" s="31" t="s">
        <v>177</v>
      </c>
      <c r="P85" s="27" t="s">
        <v>177</v>
      </c>
      <c r="Q85" s="15" t="s">
        <v>975</v>
      </c>
      <c r="R85" s="15" t="s">
        <v>267</v>
      </c>
      <c r="S85" s="15" t="s">
        <v>256</v>
      </c>
      <c r="T85" s="15" t="s">
        <v>976</v>
      </c>
      <c r="U85" s="27" t="s">
        <v>165</v>
      </c>
      <c r="V85" s="27" t="s">
        <v>131</v>
      </c>
      <c r="W85" s="27" t="s">
        <v>120</v>
      </c>
      <c r="X85" s="27" t="s">
        <v>270</v>
      </c>
    </row>
    <row r="86" spans="1:24" ht="66" customHeight="1">
      <c r="A86" s="28" t="s">
        <v>977</v>
      </c>
      <c r="B86" s="22" t="s">
        <v>35</v>
      </c>
      <c r="C86" s="22" t="s">
        <v>978</v>
      </c>
      <c r="D86" s="22" t="s">
        <v>979</v>
      </c>
      <c r="E86" s="22" t="s">
        <v>116</v>
      </c>
      <c r="F86" s="22" t="s">
        <v>910</v>
      </c>
      <c r="G86" s="22" t="s">
        <v>980</v>
      </c>
      <c r="H86" s="22" t="s">
        <v>981</v>
      </c>
      <c r="I86" s="22" t="s">
        <v>120</v>
      </c>
      <c r="J86" s="22" t="s">
        <v>120</v>
      </c>
      <c r="K86" s="22" t="s">
        <v>982</v>
      </c>
      <c r="L86" s="22" t="s">
        <v>983</v>
      </c>
      <c r="M86" s="22" t="s">
        <v>984</v>
      </c>
      <c r="N86" s="22" t="s">
        <v>985</v>
      </c>
      <c r="O86" s="26" t="s">
        <v>26</v>
      </c>
      <c r="P86" s="29" t="s">
        <v>151</v>
      </c>
      <c r="Q86" s="22" t="s">
        <v>986</v>
      </c>
      <c r="R86" s="22" t="s">
        <v>267</v>
      </c>
      <c r="S86" s="22" t="s">
        <v>154</v>
      </c>
      <c r="T86" s="22" t="s">
        <v>987</v>
      </c>
      <c r="U86" s="29" t="s">
        <v>130</v>
      </c>
      <c r="V86" s="29" t="s">
        <v>131</v>
      </c>
      <c r="W86" s="29" t="s">
        <v>120</v>
      </c>
      <c r="X86" s="29" t="s">
        <v>132</v>
      </c>
    </row>
    <row r="87" spans="1:24" ht="54" customHeight="1">
      <c r="A87" s="25" t="s">
        <v>988</v>
      </c>
      <c r="B87" s="15" t="s">
        <v>35</v>
      </c>
      <c r="C87" s="15" t="s">
        <v>989</v>
      </c>
      <c r="D87" s="15" t="s">
        <v>990</v>
      </c>
      <c r="E87" s="15" t="s">
        <v>116</v>
      </c>
      <c r="F87" s="15" t="s">
        <v>273</v>
      </c>
      <c r="G87" s="15" t="s">
        <v>991</v>
      </c>
      <c r="H87" s="15" t="s">
        <v>992</v>
      </c>
      <c r="I87" s="15" t="s">
        <v>120</v>
      </c>
      <c r="J87" s="15" t="s">
        <v>120</v>
      </c>
      <c r="K87" s="15" t="s">
        <v>993</v>
      </c>
      <c r="L87" s="15" t="s">
        <v>994</v>
      </c>
      <c r="M87" s="15" t="s">
        <v>995</v>
      </c>
      <c r="N87" s="15" t="s">
        <v>996</v>
      </c>
      <c r="O87" s="31" t="s">
        <v>177</v>
      </c>
      <c r="P87" s="27" t="s">
        <v>177</v>
      </c>
      <c r="Q87" s="15" t="s">
        <v>997</v>
      </c>
      <c r="R87" s="15" t="s">
        <v>267</v>
      </c>
      <c r="S87" s="15" t="s">
        <v>256</v>
      </c>
      <c r="T87" s="15" t="s">
        <v>998</v>
      </c>
      <c r="U87" s="27" t="s">
        <v>130</v>
      </c>
      <c r="V87" s="27" t="s">
        <v>131</v>
      </c>
      <c r="W87" s="27" t="s">
        <v>120</v>
      </c>
      <c r="X87" s="27" t="s">
        <v>270</v>
      </c>
    </row>
    <row r="88" spans="1:24" ht="54" customHeight="1">
      <c r="A88" s="28" t="s">
        <v>999</v>
      </c>
      <c r="B88" s="22" t="s">
        <v>35</v>
      </c>
      <c r="C88" s="22" t="s">
        <v>1000</v>
      </c>
      <c r="D88" s="22" t="s">
        <v>1001</v>
      </c>
      <c r="E88" s="22" t="s">
        <v>116</v>
      </c>
      <c r="F88" s="22" t="s">
        <v>237</v>
      </c>
      <c r="G88" s="22" t="s">
        <v>1002</v>
      </c>
      <c r="H88" s="22" t="s">
        <v>1003</v>
      </c>
      <c r="I88" s="22" t="s">
        <v>120</v>
      </c>
      <c r="J88" s="22" t="s">
        <v>120</v>
      </c>
      <c r="K88" s="22" t="s">
        <v>1004</v>
      </c>
      <c r="L88" s="22" t="s">
        <v>122</v>
      </c>
      <c r="M88" s="22" t="s">
        <v>1005</v>
      </c>
      <c r="N88" s="22" t="s">
        <v>1006</v>
      </c>
      <c r="O88" s="32" t="s">
        <v>213</v>
      </c>
      <c r="P88" s="29" t="s">
        <v>213</v>
      </c>
      <c r="Q88" s="22" t="s">
        <v>1007</v>
      </c>
      <c r="R88" s="22" t="s">
        <v>267</v>
      </c>
      <c r="S88" s="22" t="s">
        <v>256</v>
      </c>
      <c r="T88" s="22" t="s">
        <v>777</v>
      </c>
      <c r="U88" s="29" t="s">
        <v>165</v>
      </c>
      <c r="V88" s="29" t="s">
        <v>131</v>
      </c>
      <c r="W88" s="29" t="s">
        <v>120</v>
      </c>
      <c r="X88" s="29" t="s">
        <v>216</v>
      </c>
    </row>
    <row r="89" spans="1:24" ht="54" customHeight="1">
      <c r="A89" s="25" t="s">
        <v>1008</v>
      </c>
      <c r="B89" s="15" t="s">
        <v>35</v>
      </c>
      <c r="C89" s="15" t="s">
        <v>1009</v>
      </c>
      <c r="D89" s="15" t="s">
        <v>247</v>
      </c>
      <c r="E89" s="15" t="s">
        <v>116</v>
      </c>
      <c r="F89" s="15" t="s">
        <v>865</v>
      </c>
      <c r="G89" s="15" t="s">
        <v>1010</v>
      </c>
      <c r="H89" s="15" t="s">
        <v>1011</v>
      </c>
      <c r="I89" s="15" t="s">
        <v>1012</v>
      </c>
      <c r="J89" s="15" t="s">
        <v>120</v>
      </c>
      <c r="K89" s="15" t="s">
        <v>1013</v>
      </c>
      <c r="L89" s="15" t="s">
        <v>1014</v>
      </c>
      <c r="M89" s="15" t="s">
        <v>1015</v>
      </c>
      <c r="N89" s="15" t="s">
        <v>1016</v>
      </c>
      <c r="O89" s="31" t="s">
        <v>177</v>
      </c>
      <c r="P89" s="27" t="s">
        <v>177</v>
      </c>
      <c r="Q89" s="15" t="s">
        <v>1017</v>
      </c>
      <c r="R89" s="15" t="s">
        <v>127</v>
      </c>
      <c r="S89" s="15" t="s">
        <v>128</v>
      </c>
      <c r="T89" s="15" t="s">
        <v>1018</v>
      </c>
      <c r="U89" s="27" t="s">
        <v>130</v>
      </c>
      <c r="V89" s="27" t="s">
        <v>131</v>
      </c>
      <c r="W89" s="27" t="s">
        <v>120</v>
      </c>
      <c r="X89" s="27" t="s">
        <v>270</v>
      </c>
    </row>
    <row r="90" spans="1:24" ht="54" customHeight="1">
      <c r="A90" s="28" t="s">
        <v>1019</v>
      </c>
      <c r="B90" s="22" t="s">
        <v>35</v>
      </c>
      <c r="C90" s="22" t="s">
        <v>1020</v>
      </c>
      <c r="D90" s="22" t="s">
        <v>247</v>
      </c>
      <c r="E90" s="22" t="s">
        <v>344</v>
      </c>
      <c r="F90" s="22" t="s">
        <v>910</v>
      </c>
      <c r="G90" s="22" t="s">
        <v>1021</v>
      </c>
      <c r="H90" s="22" t="s">
        <v>1022</v>
      </c>
      <c r="I90" s="22" t="s">
        <v>1023</v>
      </c>
      <c r="J90" s="22" t="s">
        <v>1024</v>
      </c>
      <c r="K90" s="22" t="s">
        <v>1025</v>
      </c>
      <c r="L90" s="22" t="s">
        <v>1026</v>
      </c>
      <c r="M90" s="22" t="s">
        <v>1027</v>
      </c>
      <c r="N90" s="22" t="s">
        <v>1028</v>
      </c>
      <c r="O90" s="26" t="s">
        <v>26</v>
      </c>
      <c r="P90" s="29" t="s">
        <v>151</v>
      </c>
      <c r="Q90" s="22" t="s">
        <v>1029</v>
      </c>
      <c r="R90" s="22" t="s">
        <v>202</v>
      </c>
      <c r="S90" s="22" t="s">
        <v>203</v>
      </c>
      <c r="T90" s="22" t="s">
        <v>1030</v>
      </c>
      <c r="U90" s="29" t="s">
        <v>130</v>
      </c>
      <c r="V90" s="29" t="s">
        <v>131</v>
      </c>
      <c r="W90" s="29" t="s">
        <v>120</v>
      </c>
      <c r="X90" s="29" t="s">
        <v>132</v>
      </c>
    </row>
    <row r="91" spans="1:24" ht="54" customHeight="1">
      <c r="A91" s="25" t="s">
        <v>1031</v>
      </c>
      <c r="B91" s="15" t="s">
        <v>35</v>
      </c>
      <c r="C91" s="15" t="s">
        <v>1032</v>
      </c>
      <c r="D91" s="15" t="s">
        <v>909</v>
      </c>
      <c r="E91" s="15" t="s">
        <v>116</v>
      </c>
      <c r="F91" s="15" t="s">
        <v>389</v>
      </c>
      <c r="G91" s="15" t="s">
        <v>1033</v>
      </c>
      <c r="H91" s="15" t="s">
        <v>1034</v>
      </c>
      <c r="I91" s="15" t="s">
        <v>120</v>
      </c>
      <c r="J91" s="15" t="s">
        <v>120</v>
      </c>
      <c r="K91" s="15" t="s">
        <v>1035</v>
      </c>
      <c r="L91" s="15" t="s">
        <v>174</v>
      </c>
      <c r="M91" s="15" t="s">
        <v>1036</v>
      </c>
      <c r="N91" s="15" t="s">
        <v>1037</v>
      </c>
      <c r="O91" s="32" t="s">
        <v>213</v>
      </c>
      <c r="P91" s="27" t="s">
        <v>213</v>
      </c>
      <c r="Q91" s="15" t="s">
        <v>1038</v>
      </c>
      <c r="R91" s="15" t="s">
        <v>267</v>
      </c>
      <c r="S91" s="15" t="s">
        <v>154</v>
      </c>
      <c r="T91" s="15" t="s">
        <v>777</v>
      </c>
      <c r="U91" s="27" t="s">
        <v>165</v>
      </c>
      <c r="V91" s="27" t="s">
        <v>131</v>
      </c>
      <c r="W91" s="27" t="s">
        <v>120</v>
      </c>
      <c r="X91" s="27" t="s">
        <v>216</v>
      </c>
    </row>
    <row r="92" spans="1:24" ht="15.75" customHeight="1">
      <c r="A92" s="12" t="s">
        <v>36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54" customHeight="1">
      <c r="A93" s="25" t="s">
        <v>1039</v>
      </c>
      <c r="B93" s="15" t="s">
        <v>36</v>
      </c>
      <c r="C93" s="15" t="s">
        <v>1040</v>
      </c>
      <c r="D93" s="15" t="s">
        <v>1041</v>
      </c>
      <c r="E93" s="15" t="s">
        <v>116</v>
      </c>
      <c r="F93" s="15" t="s">
        <v>309</v>
      </c>
      <c r="G93" s="15" t="s">
        <v>1042</v>
      </c>
      <c r="H93" s="15" t="s">
        <v>1043</v>
      </c>
      <c r="I93" s="15" t="s">
        <v>1044</v>
      </c>
      <c r="J93" s="15" t="s">
        <v>120</v>
      </c>
      <c r="K93" s="15" t="s">
        <v>1045</v>
      </c>
      <c r="L93" s="15" t="s">
        <v>1046</v>
      </c>
      <c r="M93" s="15" t="s">
        <v>1047</v>
      </c>
      <c r="N93" s="15" t="s">
        <v>1048</v>
      </c>
      <c r="O93" s="31" t="s">
        <v>177</v>
      </c>
      <c r="P93" s="27" t="s">
        <v>177</v>
      </c>
      <c r="Q93" s="15" t="s">
        <v>1049</v>
      </c>
      <c r="R93" s="15" t="s">
        <v>127</v>
      </c>
      <c r="S93" s="15" t="s">
        <v>154</v>
      </c>
      <c r="T93" s="15" t="s">
        <v>1050</v>
      </c>
      <c r="U93" s="27" t="s">
        <v>130</v>
      </c>
      <c r="V93" s="27" t="s">
        <v>131</v>
      </c>
      <c r="W93" s="27" t="s">
        <v>120</v>
      </c>
      <c r="X93" s="27" t="s">
        <v>270</v>
      </c>
    </row>
    <row r="94" spans="1:24" ht="54" customHeight="1">
      <c r="A94" s="28" t="s">
        <v>1051</v>
      </c>
      <c r="B94" s="22" t="s">
        <v>36</v>
      </c>
      <c r="C94" s="22" t="s">
        <v>1052</v>
      </c>
      <c r="D94" s="22" t="s">
        <v>1053</v>
      </c>
      <c r="E94" s="22" t="s">
        <v>116</v>
      </c>
      <c r="F94" s="22" t="s">
        <v>237</v>
      </c>
      <c r="G94" s="22" t="s">
        <v>1054</v>
      </c>
      <c r="H94" s="22" t="s">
        <v>1055</v>
      </c>
      <c r="I94" s="22" t="s">
        <v>120</v>
      </c>
      <c r="J94" s="22" t="s">
        <v>120</v>
      </c>
      <c r="K94" s="22" t="s">
        <v>1056</v>
      </c>
      <c r="L94" s="22" t="s">
        <v>122</v>
      </c>
      <c r="M94" s="22" t="s">
        <v>1057</v>
      </c>
      <c r="N94" s="22" t="s">
        <v>1058</v>
      </c>
      <c r="O94" s="30" t="s">
        <v>151</v>
      </c>
      <c r="P94" s="29" t="s">
        <v>151</v>
      </c>
      <c r="Q94" s="22" t="s">
        <v>1059</v>
      </c>
      <c r="R94" s="22" t="s">
        <v>267</v>
      </c>
      <c r="S94" s="22" t="s">
        <v>256</v>
      </c>
      <c r="T94" s="22" t="s">
        <v>1060</v>
      </c>
      <c r="U94" s="29" t="s">
        <v>165</v>
      </c>
      <c r="V94" s="29" t="s">
        <v>131</v>
      </c>
      <c r="W94" s="29" t="s">
        <v>120</v>
      </c>
      <c r="X94" s="29" t="s">
        <v>132</v>
      </c>
    </row>
    <row r="95" spans="1:24" ht="42" customHeight="1">
      <c r="A95" s="25" t="s">
        <v>1061</v>
      </c>
      <c r="B95" s="15" t="s">
        <v>36</v>
      </c>
      <c r="C95" s="15" t="s">
        <v>1062</v>
      </c>
      <c r="D95" s="15" t="s">
        <v>1063</v>
      </c>
      <c r="E95" s="15" t="s">
        <v>116</v>
      </c>
      <c r="F95" s="15" t="s">
        <v>309</v>
      </c>
      <c r="G95" s="15" t="s">
        <v>1064</v>
      </c>
      <c r="H95" s="15" t="s">
        <v>1065</v>
      </c>
      <c r="I95" s="15" t="s">
        <v>1066</v>
      </c>
      <c r="J95" s="15" t="s">
        <v>120</v>
      </c>
      <c r="K95" s="15" t="s">
        <v>1067</v>
      </c>
      <c r="L95" s="15" t="s">
        <v>1068</v>
      </c>
      <c r="M95" s="15" t="s">
        <v>1069</v>
      </c>
      <c r="N95" s="15" t="s">
        <v>1070</v>
      </c>
      <c r="O95" s="31" t="s">
        <v>177</v>
      </c>
      <c r="P95" s="27" t="s">
        <v>177</v>
      </c>
      <c r="Q95" s="15" t="s">
        <v>1071</v>
      </c>
      <c r="R95" s="15" t="s">
        <v>202</v>
      </c>
      <c r="S95" s="15" t="s">
        <v>203</v>
      </c>
      <c r="T95" s="15" t="s">
        <v>1072</v>
      </c>
      <c r="U95" s="27" t="s">
        <v>165</v>
      </c>
      <c r="V95" s="27" t="s">
        <v>131</v>
      </c>
      <c r="W95" s="27" t="s">
        <v>120</v>
      </c>
      <c r="X95" s="27" t="s">
        <v>270</v>
      </c>
    </row>
    <row r="96" spans="1:24" ht="42" customHeight="1">
      <c r="A96" s="28" t="s">
        <v>1073</v>
      </c>
      <c r="B96" s="22" t="s">
        <v>36</v>
      </c>
      <c r="C96" s="22" t="s">
        <v>1074</v>
      </c>
      <c r="D96" s="22" t="s">
        <v>1075</v>
      </c>
      <c r="E96" s="22" t="s">
        <v>116</v>
      </c>
      <c r="F96" s="22" t="s">
        <v>237</v>
      </c>
      <c r="G96" s="22" t="s">
        <v>1076</v>
      </c>
      <c r="H96" s="22" t="s">
        <v>1077</v>
      </c>
      <c r="I96" s="22" t="s">
        <v>120</v>
      </c>
      <c r="J96" s="22" t="s">
        <v>120</v>
      </c>
      <c r="K96" s="22" t="s">
        <v>1078</v>
      </c>
      <c r="L96" s="22" t="s">
        <v>950</v>
      </c>
      <c r="M96" s="22" t="s">
        <v>1079</v>
      </c>
      <c r="N96" s="22" t="s">
        <v>1080</v>
      </c>
      <c r="O96" s="31" t="s">
        <v>177</v>
      </c>
      <c r="P96" s="29" t="s">
        <v>177</v>
      </c>
      <c r="Q96" s="22" t="s">
        <v>1081</v>
      </c>
      <c r="R96" s="22" t="s">
        <v>127</v>
      </c>
      <c r="S96" s="22" t="s">
        <v>203</v>
      </c>
      <c r="T96" s="22" t="s">
        <v>1082</v>
      </c>
      <c r="U96" s="29" t="s">
        <v>165</v>
      </c>
      <c r="V96" s="29" t="s">
        <v>131</v>
      </c>
      <c r="W96" s="29" t="s">
        <v>120</v>
      </c>
      <c r="X96" s="29" t="s">
        <v>270</v>
      </c>
    </row>
    <row r="97" spans="1:24" ht="54" customHeight="1">
      <c r="A97" s="25" t="s">
        <v>1083</v>
      </c>
      <c r="B97" s="15" t="s">
        <v>36</v>
      </c>
      <c r="C97" s="15" t="s">
        <v>1084</v>
      </c>
      <c r="D97" s="15" t="s">
        <v>1085</v>
      </c>
      <c r="E97" s="15" t="s">
        <v>116</v>
      </c>
      <c r="F97" s="15" t="s">
        <v>248</v>
      </c>
      <c r="G97" s="15" t="s">
        <v>1086</v>
      </c>
      <c r="H97" s="15" t="s">
        <v>1087</v>
      </c>
      <c r="I97" s="15" t="s">
        <v>1088</v>
      </c>
      <c r="J97" s="15" t="s">
        <v>120</v>
      </c>
      <c r="K97" s="15" t="s">
        <v>1089</v>
      </c>
      <c r="L97" s="15" t="s">
        <v>1090</v>
      </c>
      <c r="M97" s="15" t="s">
        <v>1091</v>
      </c>
      <c r="N97" s="15" t="s">
        <v>1092</v>
      </c>
      <c r="O97" s="31" t="s">
        <v>177</v>
      </c>
      <c r="P97" s="27" t="s">
        <v>177</v>
      </c>
      <c r="Q97" s="15" t="s">
        <v>1093</v>
      </c>
      <c r="R97" s="15" t="s">
        <v>127</v>
      </c>
      <c r="S97" s="15" t="s">
        <v>154</v>
      </c>
      <c r="T97" s="15" t="s">
        <v>1094</v>
      </c>
      <c r="U97" s="27" t="s">
        <v>165</v>
      </c>
      <c r="V97" s="27" t="s">
        <v>131</v>
      </c>
      <c r="W97" s="27" t="s">
        <v>120</v>
      </c>
      <c r="X97" s="27" t="s">
        <v>270</v>
      </c>
    </row>
    <row r="98" spans="1:24" ht="54" customHeight="1">
      <c r="A98" s="28" t="s">
        <v>1095</v>
      </c>
      <c r="B98" s="22" t="s">
        <v>36</v>
      </c>
      <c r="C98" s="22" t="s">
        <v>1096</v>
      </c>
      <c r="D98" s="22" t="s">
        <v>1097</v>
      </c>
      <c r="E98" s="22" t="s">
        <v>344</v>
      </c>
      <c r="F98" s="22" t="s">
        <v>309</v>
      </c>
      <c r="G98" s="22" t="s">
        <v>1098</v>
      </c>
      <c r="H98" s="22" t="s">
        <v>1099</v>
      </c>
      <c r="I98" s="22" t="s">
        <v>1100</v>
      </c>
      <c r="J98" s="22" t="s">
        <v>1101</v>
      </c>
      <c r="K98" s="22" t="s">
        <v>1102</v>
      </c>
      <c r="L98" s="22" t="s">
        <v>1103</v>
      </c>
      <c r="M98" s="22" t="s">
        <v>1104</v>
      </c>
      <c r="N98" s="22" t="s">
        <v>1105</v>
      </c>
      <c r="O98" s="32" t="s">
        <v>213</v>
      </c>
      <c r="P98" s="29" t="s">
        <v>177</v>
      </c>
      <c r="Q98" s="22" t="s">
        <v>1106</v>
      </c>
      <c r="R98" s="22" t="s">
        <v>127</v>
      </c>
      <c r="S98" s="22" t="s">
        <v>128</v>
      </c>
      <c r="T98" s="22" t="s">
        <v>1107</v>
      </c>
      <c r="U98" s="29" t="s">
        <v>165</v>
      </c>
      <c r="V98" s="29" t="s">
        <v>131</v>
      </c>
      <c r="W98" s="29" t="s">
        <v>120</v>
      </c>
      <c r="X98" s="29" t="s">
        <v>270</v>
      </c>
    </row>
    <row r="99" spans="1:24" ht="54" customHeight="1">
      <c r="A99" s="25" t="s">
        <v>1108</v>
      </c>
      <c r="B99" s="15" t="s">
        <v>36</v>
      </c>
      <c r="C99" s="15" t="s">
        <v>1109</v>
      </c>
      <c r="D99" s="15" t="s">
        <v>435</v>
      </c>
      <c r="E99" s="15" t="s">
        <v>116</v>
      </c>
      <c r="F99" s="15" t="s">
        <v>237</v>
      </c>
      <c r="G99" s="15" t="s">
        <v>1110</v>
      </c>
      <c r="H99" s="15" t="s">
        <v>670</v>
      </c>
      <c r="I99" s="15" t="s">
        <v>1111</v>
      </c>
      <c r="J99" s="15" t="s">
        <v>120</v>
      </c>
      <c r="K99" s="15" t="s">
        <v>1112</v>
      </c>
      <c r="L99" s="15" t="s">
        <v>440</v>
      </c>
      <c r="M99" s="15" t="s">
        <v>1113</v>
      </c>
      <c r="N99" s="15" t="s">
        <v>1114</v>
      </c>
      <c r="O99" s="31" t="s">
        <v>177</v>
      </c>
      <c r="P99" s="27" t="s">
        <v>177</v>
      </c>
      <c r="Q99" s="15" t="s">
        <v>1115</v>
      </c>
      <c r="R99" s="15" t="s">
        <v>230</v>
      </c>
      <c r="S99" s="15" t="s">
        <v>128</v>
      </c>
      <c r="T99" s="15" t="s">
        <v>1116</v>
      </c>
      <c r="U99" s="27" t="s">
        <v>165</v>
      </c>
      <c r="V99" s="27" t="s">
        <v>131</v>
      </c>
      <c r="W99" s="27" t="s">
        <v>120</v>
      </c>
      <c r="X99" s="27" t="s">
        <v>270</v>
      </c>
    </row>
    <row r="100" spans="1:24" ht="54" customHeight="1">
      <c r="A100" s="28" t="s">
        <v>1117</v>
      </c>
      <c r="B100" s="22" t="s">
        <v>36</v>
      </c>
      <c r="C100" s="22" t="s">
        <v>1118</v>
      </c>
      <c r="D100" s="22" t="s">
        <v>1119</v>
      </c>
      <c r="E100" s="22" t="s">
        <v>220</v>
      </c>
      <c r="F100" s="22" t="s">
        <v>366</v>
      </c>
      <c r="G100" s="22" t="s">
        <v>1120</v>
      </c>
      <c r="H100" s="22" t="s">
        <v>1121</v>
      </c>
      <c r="I100" s="22" t="s">
        <v>1122</v>
      </c>
      <c r="J100" s="22" t="s">
        <v>1123</v>
      </c>
      <c r="K100" s="22" t="s">
        <v>1124</v>
      </c>
      <c r="L100" s="22" t="s">
        <v>174</v>
      </c>
      <c r="M100" s="22" t="s">
        <v>1125</v>
      </c>
      <c r="N100" s="22" t="s">
        <v>1126</v>
      </c>
      <c r="O100" s="31" t="s">
        <v>177</v>
      </c>
      <c r="P100" s="29" t="s">
        <v>177</v>
      </c>
      <c r="Q100" s="22" t="s">
        <v>1127</v>
      </c>
      <c r="R100" s="22" t="s">
        <v>127</v>
      </c>
      <c r="S100" s="22" t="s">
        <v>128</v>
      </c>
      <c r="T100" s="22" t="s">
        <v>1128</v>
      </c>
      <c r="U100" s="29" t="s">
        <v>165</v>
      </c>
      <c r="V100" s="29" t="s">
        <v>131</v>
      </c>
      <c r="W100" s="29" t="s">
        <v>120</v>
      </c>
      <c r="X100" s="29" t="s">
        <v>270</v>
      </c>
    </row>
    <row r="101" spans="1:24" ht="54" customHeight="1">
      <c r="A101" s="25" t="s">
        <v>1129</v>
      </c>
      <c r="B101" s="15" t="s">
        <v>36</v>
      </c>
      <c r="C101" s="15" t="s">
        <v>1130</v>
      </c>
      <c r="D101" s="15" t="s">
        <v>1131</v>
      </c>
      <c r="E101" s="15" t="s">
        <v>116</v>
      </c>
      <c r="F101" s="15" t="s">
        <v>366</v>
      </c>
      <c r="G101" s="15" t="s">
        <v>1132</v>
      </c>
      <c r="H101" s="15" t="s">
        <v>1133</v>
      </c>
      <c r="I101" s="15" t="s">
        <v>120</v>
      </c>
      <c r="J101" s="15" t="s">
        <v>120</v>
      </c>
      <c r="K101" s="15" t="s">
        <v>1134</v>
      </c>
      <c r="L101" s="15" t="s">
        <v>370</v>
      </c>
      <c r="M101" s="15" t="s">
        <v>1135</v>
      </c>
      <c r="N101" s="15" t="s">
        <v>316</v>
      </c>
      <c r="O101" s="31" t="s">
        <v>177</v>
      </c>
      <c r="P101" s="27" t="s">
        <v>177</v>
      </c>
      <c r="Q101" s="15" t="s">
        <v>1136</v>
      </c>
      <c r="R101" s="15" t="s">
        <v>267</v>
      </c>
      <c r="S101" s="15" t="s">
        <v>154</v>
      </c>
      <c r="T101" s="15" t="s">
        <v>1137</v>
      </c>
      <c r="U101" s="27" t="s">
        <v>165</v>
      </c>
      <c r="V101" s="27" t="s">
        <v>131</v>
      </c>
      <c r="W101" s="27" t="s">
        <v>120</v>
      </c>
      <c r="X101" s="27" t="s">
        <v>270</v>
      </c>
    </row>
    <row r="102" spans="1:24" ht="54" customHeight="1">
      <c r="A102" s="28" t="s">
        <v>1138</v>
      </c>
      <c r="B102" s="22" t="s">
        <v>36</v>
      </c>
      <c r="C102" s="22" t="s">
        <v>1139</v>
      </c>
      <c r="D102" s="22" t="s">
        <v>1140</v>
      </c>
      <c r="E102" s="22" t="s">
        <v>220</v>
      </c>
      <c r="F102" s="22" t="s">
        <v>309</v>
      </c>
      <c r="G102" s="22" t="s">
        <v>1141</v>
      </c>
      <c r="H102" s="22" t="s">
        <v>1142</v>
      </c>
      <c r="I102" s="22" t="s">
        <v>1143</v>
      </c>
      <c r="J102" s="22" t="s">
        <v>120</v>
      </c>
      <c r="K102" s="22" t="s">
        <v>1144</v>
      </c>
      <c r="L102" s="22" t="s">
        <v>1145</v>
      </c>
      <c r="M102" s="22" t="s">
        <v>1146</v>
      </c>
      <c r="N102" s="22" t="s">
        <v>1147</v>
      </c>
      <c r="O102" s="32" t="s">
        <v>213</v>
      </c>
      <c r="P102" s="29" t="s">
        <v>213</v>
      </c>
      <c r="Q102" s="22" t="s">
        <v>1148</v>
      </c>
      <c r="R102" s="22" t="s">
        <v>230</v>
      </c>
      <c r="S102" s="22" t="s">
        <v>128</v>
      </c>
      <c r="T102" s="22" t="s">
        <v>1149</v>
      </c>
      <c r="U102" s="29" t="s">
        <v>130</v>
      </c>
      <c r="V102" s="29" t="s">
        <v>131</v>
      </c>
      <c r="W102" s="29" t="s">
        <v>120</v>
      </c>
      <c r="X102" s="29" t="s">
        <v>216</v>
      </c>
    </row>
    <row r="103" spans="1:24" ht="15.75" customHeight="1">
      <c r="A103" s="12" t="s">
        <v>37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54" customHeight="1">
      <c r="A104" s="28" t="s">
        <v>1150</v>
      </c>
      <c r="B104" s="22" t="s">
        <v>37</v>
      </c>
      <c r="C104" s="22" t="s">
        <v>1151</v>
      </c>
      <c r="D104" s="22" t="s">
        <v>1152</v>
      </c>
      <c r="E104" s="22" t="s">
        <v>1153</v>
      </c>
      <c r="F104" s="22" t="s">
        <v>237</v>
      </c>
      <c r="G104" s="22" t="s">
        <v>1154</v>
      </c>
      <c r="H104" s="22" t="s">
        <v>1155</v>
      </c>
      <c r="I104" s="22" t="s">
        <v>1156</v>
      </c>
      <c r="J104" s="22" t="s">
        <v>1157</v>
      </c>
      <c r="K104" s="22" t="s">
        <v>1158</v>
      </c>
      <c r="L104" s="22" t="s">
        <v>279</v>
      </c>
      <c r="M104" s="22" t="s">
        <v>1159</v>
      </c>
      <c r="N104" s="22" t="s">
        <v>1160</v>
      </c>
      <c r="O104" s="30" t="s">
        <v>151</v>
      </c>
      <c r="P104" s="29" t="s">
        <v>151</v>
      </c>
      <c r="Q104" s="22" t="s">
        <v>1161</v>
      </c>
      <c r="R104" s="22" t="s">
        <v>230</v>
      </c>
      <c r="S104" s="22" t="s">
        <v>154</v>
      </c>
      <c r="T104" s="22" t="s">
        <v>1162</v>
      </c>
      <c r="U104" s="29" t="s">
        <v>130</v>
      </c>
      <c r="V104" s="29" t="s">
        <v>232</v>
      </c>
      <c r="W104" s="33" t="s">
        <v>71</v>
      </c>
      <c r="X104" s="29" t="s">
        <v>132</v>
      </c>
    </row>
    <row r="105" spans="1:24" ht="54" customHeight="1">
      <c r="A105" s="25" t="s">
        <v>1163</v>
      </c>
      <c r="B105" s="15" t="s">
        <v>37</v>
      </c>
      <c r="C105" s="15" t="s">
        <v>1164</v>
      </c>
      <c r="D105" s="15" t="s">
        <v>1165</v>
      </c>
      <c r="E105" s="15" t="s">
        <v>400</v>
      </c>
      <c r="F105" s="15" t="s">
        <v>389</v>
      </c>
      <c r="G105" s="15" t="s">
        <v>1166</v>
      </c>
      <c r="H105" s="15" t="s">
        <v>1167</v>
      </c>
      <c r="I105" s="15" t="s">
        <v>1168</v>
      </c>
      <c r="J105" s="15" t="s">
        <v>1169</v>
      </c>
      <c r="K105" s="15" t="s">
        <v>1170</v>
      </c>
      <c r="L105" s="15" t="s">
        <v>1171</v>
      </c>
      <c r="M105" s="15" t="s">
        <v>1172</v>
      </c>
      <c r="N105" s="15" t="s">
        <v>651</v>
      </c>
      <c r="O105" s="30" t="s">
        <v>151</v>
      </c>
      <c r="P105" s="27" t="s">
        <v>151</v>
      </c>
      <c r="Q105" s="15" t="s">
        <v>1173</v>
      </c>
      <c r="R105" s="15" t="s">
        <v>202</v>
      </c>
      <c r="S105" s="15" t="s">
        <v>203</v>
      </c>
      <c r="T105" s="15" t="s">
        <v>1174</v>
      </c>
      <c r="U105" s="27" t="s">
        <v>130</v>
      </c>
      <c r="V105" s="27" t="s">
        <v>232</v>
      </c>
      <c r="W105" s="34" t="s">
        <v>74</v>
      </c>
      <c r="X105" s="27" t="s">
        <v>132</v>
      </c>
    </row>
    <row r="106" spans="1:24" ht="54" customHeight="1">
      <c r="A106" s="28" t="s">
        <v>1175</v>
      </c>
      <c r="B106" s="22" t="s">
        <v>37</v>
      </c>
      <c r="C106" s="22" t="s">
        <v>1176</v>
      </c>
      <c r="D106" s="22" t="s">
        <v>1177</v>
      </c>
      <c r="E106" s="22" t="s">
        <v>116</v>
      </c>
      <c r="F106" s="22" t="s">
        <v>865</v>
      </c>
      <c r="G106" s="22" t="s">
        <v>1178</v>
      </c>
      <c r="H106" s="22" t="s">
        <v>1179</v>
      </c>
      <c r="I106" s="22" t="s">
        <v>1180</v>
      </c>
      <c r="J106" s="22" t="s">
        <v>1181</v>
      </c>
      <c r="K106" s="22" t="s">
        <v>1182</v>
      </c>
      <c r="L106" s="22" t="s">
        <v>880</v>
      </c>
      <c r="M106" s="22" t="s">
        <v>1183</v>
      </c>
      <c r="N106" s="22" t="s">
        <v>1184</v>
      </c>
      <c r="O106" s="30" t="s">
        <v>151</v>
      </c>
      <c r="P106" s="29" t="s">
        <v>151</v>
      </c>
      <c r="Q106" s="22" t="s">
        <v>1185</v>
      </c>
      <c r="R106" s="22" t="s">
        <v>230</v>
      </c>
      <c r="S106" s="22" t="s">
        <v>128</v>
      </c>
      <c r="T106" s="22" t="s">
        <v>1186</v>
      </c>
      <c r="U106" s="29" t="s">
        <v>130</v>
      </c>
      <c r="V106" s="29" t="s">
        <v>232</v>
      </c>
      <c r="W106" s="33" t="s">
        <v>74</v>
      </c>
      <c r="X106" s="29" t="s">
        <v>132</v>
      </c>
    </row>
    <row r="107" spans="1:24" ht="54" customHeight="1">
      <c r="A107" s="25" t="s">
        <v>1187</v>
      </c>
      <c r="B107" s="15" t="s">
        <v>37</v>
      </c>
      <c r="C107" s="15" t="s">
        <v>1188</v>
      </c>
      <c r="D107" s="15" t="s">
        <v>1189</v>
      </c>
      <c r="E107" s="15" t="s">
        <v>400</v>
      </c>
      <c r="F107" s="15" t="s">
        <v>221</v>
      </c>
      <c r="G107" s="15" t="s">
        <v>1190</v>
      </c>
      <c r="H107" s="15" t="s">
        <v>1191</v>
      </c>
      <c r="I107" s="15" t="s">
        <v>1192</v>
      </c>
      <c r="J107" s="15" t="s">
        <v>1193</v>
      </c>
      <c r="K107" s="15" t="s">
        <v>1194</v>
      </c>
      <c r="L107" s="15" t="s">
        <v>730</v>
      </c>
      <c r="M107" s="15" t="s">
        <v>1195</v>
      </c>
      <c r="N107" s="15" t="s">
        <v>1196</v>
      </c>
      <c r="O107" s="26" t="s">
        <v>26</v>
      </c>
      <c r="P107" s="27" t="s">
        <v>151</v>
      </c>
      <c r="Q107" s="15" t="s">
        <v>1197</v>
      </c>
      <c r="R107" s="15" t="s">
        <v>305</v>
      </c>
      <c r="S107" s="15" t="s">
        <v>154</v>
      </c>
      <c r="T107" s="15" t="s">
        <v>1198</v>
      </c>
      <c r="U107" s="27" t="s">
        <v>130</v>
      </c>
      <c r="V107" s="27" t="s">
        <v>232</v>
      </c>
      <c r="W107" s="34" t="s">
        <v>71</v>
      </c>
      <c r="X107" s="27" t="s">
        <v>132</v>
      </c>
    </row>
    <row r="108" spans="1:24" ht="54" customHeight="1">
      <c r="A108" s="28" t="s">
        <v>1199</v>
      </c>
      <c r="B108" s="22" t="s">
        <v>37</v>
      </c>
      <c r="C108" s="22" t="s">
        <v>1200</v>
      </c>
      <c r="D108" s="22" t="s">
        <v>1201</v>
      </c>
      <c r="E108" s="22" t="s">
        <v>1153</v>
      </c>
      <c r="F108" s="22" t="s">
        <v>237</v>
      </c>
      <c r="G108" s="22" t="s">
        <v>1202</v>
      </c>
      <c r="H108" s="22" t="s">
        <v>1203</v>
      </c>
      <c r="I108" s="22" t="s">
        <v>1204</v>
      </c>
      <c r="J108" s="22" t="s">
        <v>1205</v>
      </c>
      <c r="K108" s="22" t="s">
        <v>1206</v>
      </c>
      <c r="L108" s="22" t="s">
        <v>279</v>
      </c>
      <c r="M108" s="22" t="s">
        <v>1207</v>
      </c>
      <c r="N108" s="22" t="s">
        <v>1208</v>
      </c>
      <c r="O108" s="30" t="s">
        <v>151</v>
      </c>
      <c r="P108" s="29" t="s">
        <v>151</v>
      </c>
      <c r="Q108" s="22" t="s">
        <v>1209</v>
      </c>
      <c r="R108" s="22" t="s">
        <v>230</v>
      </c>
      <c r="S108" s="22" t="s">
        <v>154</v>
      </c>
      <c r="T108" s="22" t="s">
        <v>1210</v>
      </c>
      <c r="U108" s="29" t="s">
        <v>130</v>
      </c>
      <c r="V108" s="29" t="s">
        <v>232</v>
      </c>
      <c r="W108" s="33" t="s">
        <v>71</v>
      </c>
      <c r="X108" s="29" t="s">
        <v>270</v>
      </c>
    </row>
    <row r="109" spans="1:24" ht="54" customHeight="1">
      <c r="A109" s="25" t="s">
        <v>1211</v>
      </c>
      <c r="B109" s="15" t="s">
        <v>37</v>
      </c>
      <c r="C109" s="15" t="s">
        <v>1212</v>
      </c>
      <c r="D109" s="15" t="s">
        <v>1213</v>
      </c>
      <c r="E109" s="15" t="s">
        <v>1214</v>
      </c>
      <c r="F109" s="15" t="s">
        <v>221</v>
      </c>
      <c r="G109" s="15" t="s">
        <v>1215</v>
      </c>
      <c r="H109" s="15" t="s">
        <v>1216</v>
      </c>
      <c r="I109" s="15" t="s">
        <v>1217</v>
      </c>
      <c r="J109" s="15" t="s">
        <v>1218</v>
      </c>
      <c r="K109" s="15" t="s">
        <v>1219</v>
      </c>
      <c r="L109" s="15" t="s">
        <v>636</v>
      </c>
      <c r="M109" s="15" t="s">
        <v>1220</v>
      </c>
      <c r="N109" s="15" t="s">
        <v>1221</v>
      </c>
      <c r="O109" s="31" t="s">
        <v>177</v>
      </c>
      <c r="P109" s="27" t="s">
        <v>177</v>
      </c>
      <c r="Q109" s="15" t="s">
        <v>1222</v>
      </c>
      <c r="R109" s="15" t="s">
        <v>127</v>
      </c>
      <c r="S109" s="15" t="s">
        <v>154</v>
      </c>
      <c r="T109" s="15" t="s">
        <v>1223</v>
      </c>
      <c r="U109" s="27" t="s">
        <v>130</v>
      </c>
      <c r="V109" s="27" t="s">
        <v>131</v>
      </c>
      <c r="W109" s="27" t="s">
        <v>120</v>
      </c>
      <c r="X109" s="27" t="s">
        <v>270</v>
      </c>
    </row>
    <row r="110" spans="1:24" ht="54" customHeight="1">
      <c r="A110" s="28" t="s">
        <v>1224</v>
      </c>
      <c r="B110" s="22" t="s">
        <v>37</v>
      </c>
      <c r="C110" s="22" t="s">
        <v>1225</v>
      </c>
      <c r="D110" s="22" t="s">
        <v>1226</v>
      </c>
      <c r="E110" s="22" t="s">
        <v>400</v>
      </c>
      <c r="F110" s="22" t="s">
        <v>221</v>
      </c>
      <c r="G110" s="22" t="s">
        <v>1227</v>
      </c>
      <c r="H110" s="22" t="s">
        <v>1228</v>
      </c>
      <c r="I110" s="22" t="s">
        <v>1229</v>
      </c>
      <c r="J110" s="22" t="s">
        <v>623</v>
      </c>
      <c r="K110" s="22" t="s">
        <v>1230</v>
      </c>
      <c r="L110" s="22" t="s">
        <v>730</v>
      </c>
      <c r="M110" s="22" t="s">
        <v>1231</v>
      </c>
      <c r="N110" s="22" t="s">
        <v>1232</v>
      </c>
      <c r="O110" s="31" t="s">
        <v>177</v>
      </c>
      <c r="P110" s="29" t="s">
        <v>177</v>
      </c>
      <c r="Q110" s="22" t="s">
        <v>1233</v>
      </c>
      <c r="R110" s="22" t="s">
        <v>267</v>
      </c>
      <c r="S110" s="22" t="s">
        <v>268</v>
      </c>
      <c r="T110" s="22" t="s">
        <v>1234</v>
      </c>
      <c r="U110" s="29" t="s">
        <v>130</v>
      </c>
      <c r="V110" s="29" t="s">
        <v>131</v>
      </c>
      <c r="W110" s="29" t="s">
        <v>120</v>
      </c>
      <c r="X110" s="29" t="s">
        <v>270</v>
      </c>
    </row>
    <row r="111" spans="1:24" ht="54" customHeight="1">
      <c r="A111" s="25" t="s">
        <v>1235</v>
      </c>
      <c r="B111" s="15" t="s">
        <v>37</v>
      </c>
      <c r="C111" s="15" t="s">
        <v>1236</v>
      </c>
      <c r="D111" s="15" t="s">
        <v>1237</v>
      </c>
      <c r="E111" s="15" t="s">
        <v>1214</v>
      </c>
      <c r="F111" s="15" t="s">
        <v>221</v>
      </c>
      <c r="G111" s="15" t="s">
        <v>1238</v>
      </c>
      <c r="H111" s="15" t="s">
        <v>1239</v>
      </c>
      <c r="I111" s="15" t="s">
        <v>633</v>
      </c>
      <c r="J111" s="15" t="s">
        <v>1240</v>
      </c>
      <c r="K111" s="15" t="s">
        <v>1241</v>
      </c>
      <c r="L111" s="15" t="s">
        <v>1242</v>
      </c>
      <c r="M111" s="15" t="s">
        <v>1243</v>
      </c>
      <c r="N111" s="15" t="s">
        <v>1244</v>
      </c>
      <c r="O111" s="31" t="s">
        <v>177</v>
      </c>
      <c r="P111" s="27" t="s">
        <v>177</v>
      </c>
      <c r="Q111" s="15" t="s">
        <v>1245</v>
      </c>
      <c r="R111" s="15" t="s">
        <v>267</v>
      </c>
      <c r="S111" s="15" t="s">
        <v>268</v>
      </c>
      <c r="T111" s="15" t="s">
        <v>1246</v>
      </c>
      <c r="U111" s="27" t="s">
        <v>130</v>
      </c>
      <c r="V111" s="27" t="s">
        <v>131</v>
      </c>
      <c r="W111" s="27" t="s">
        <v>120</v>
      </c>
      <c r="X111" s="27" t="s">
        <v>270</v>
      </c>
    </row>
    <row r="112" spans="1:24" ht="54" customHeight="1">
      <c r="A112" s="28" t="s">
        <v>1247</v>
      </c>
      <c r="B112" s="22" t="s">
        <v>37</v>
      </c>
      <c r="C112" s="22" t="s">
        <v>1248</v>
      </c>
      <c r="D112" s="22" t="s">
        <v>1249</v>
      </c>
      <c r="E112" s="22" t="s">
        <v>1153</v>
      </c>
      <c r="F112" s="22" t="s">
        <v>237</v>
      </c>
      <c r="G112" s="22" t="s">
        <v>1250</v>
      </c>
      <c r="H112" s="22" t="s">
        <v>1251</v>
      </c>
      <c r="I112" s="22" t="s">
        <v>1252</v>
      </c>
      <c r="J112" s="22" t="s">
        <v>1253</v>
      </c>
      <c r="K112" s="22" t="s">
        <v>1254</v>
      </c>
      <c r="L112" s="22" t="s">
        <v>279</v>
      </c>
      <c r="M112" s="22" t="s">
        <v>1255</v>
      </c>
      <c r="N112" s="22" t="s">
        <v>1256</v>
      </c>
      <c r="O112" s="31" t="s">
        <v>177</v>
      </c>
      <c r="P112" s="29" t="s">
        <v>177</v>
      </c>
      <c r="Q112" s="22" t="s">
        <v>1257</v>
      </c>
      <c r="R112" s="22" t="s">
        <v>230</v>
      </c>
      <c r="S112" s="22" t="s">
        <v>128</v>
      </c>
      <c r="T112" s="22" t="s">
        <v>1258</v>
      </c>
      <c r="U112" s="29" t="s">
        <v>165</v>
      </c>
      <c r="V112" s="29" t="s">
        <v>232</v>
      </c>
      <c r="W112" s="33" t="s">
        <v>71</v>
      </c>
      <c r="X112" s="29" t="s">
        <v>270</v>
      </c>
    </row>
    <row r="113" spans="1:24" ht="54" customHeight="1">
      <c r="A113" s="25" t="s">
        <v>1259</v>
      </c>
      <c r="B113" s="15" t="s">
        <v>37</v>
      </c>
      <c r="C113" s="15" t="s">
        <v>1260</v>
      </c>
      <c r="D113" s="15" t="s">
        <v>1165</v>
      </c>
      <c r="E113" s="15" t="s">
        <v>1214</v>
      </c>
      <c r="F113" s="15" t="s">
        <v>309</v>
      </c>
      <c r="G113" s="15" t="s">
        <v>1261</v>
      </c>
      <c r="H113" s="15" t="s">
        <v>1262</v>
      </c>
      <c r="I113" s="15" t="s">
        <v>1263</v>
      </c>
      <c r="J113" s="15" t="s">
        <v>1264</v>
      </c>
      <c r="K113" s="15" t="s">
        <v>1265</v>
      </c>
      <c r="L113" s="15" t="s">
        <v>1068</v>
      </c>
      <c r="M113" s="15" t="s">
        <v>1266</v>
      </c>
      <c r="N113" s="15" t="s">
        <v>1267</v>
      </c>
      <c r="O113" s="31" t="s">
        <v>177</v>
      </c>
      <c r="P113" s="27" t="s">
        <v>177</v>
      </c>
      <c r="Q113" s="15" t="s">
        <v>1268</v>
      </c>
      <c r="R113" s="15" t="s">
        <v>127</v>
      </c>
      <c r="S113" s="15" t="s">
        <v>154</v>
      </c>
      <c r="T113" s="15" t="s">
        <v>1269</v>
      </c>
      <c r="U113" s="27" t="s">
        <v>165</v>
      </c>
      <c r="V113" s="27" t="s">
        <v>131</v>
      </c>
      <c r="W113" s="27" t="s">
        <v>120</v>
      </c>
      <c r="X113" s="27" t="s">
        <v>270</v>
      </c>
    </row>
    <row r="114" spans="1:24" ht="54" customHeight="1">
      <c r="A114" s="28" t="s">
        <v>1270</v>
      </c>
      <c r="B114" s="22" t="s">
        <v>37</v>
      </c>
      <c r="C114" s="22" t="s">
        <v>1271</v>
      </c>
      <c r="D114" s="22" t="s">
        <v>1272</v>
      </c>
      <c r="E114" s="22" t="s">
        <v>1153</v>
      </c>
      <c r="F114" s="22" t="s">
        <v>865</v>
      </c>
      <c r="G114" s="22" t="s">
        <v>1273</v>
      </c>
      <c r="H114" s="22" t="s">
        <v>1274</v>
      </c>
      <c r="I114" s="22" t="s">
        <v>1275</v>
      </c>
      <c r="J114" s="22" t="s">
        <v>1276</v>
      </c>
      <c r="K114" s="22" t="s">
        <v>1277</v>
      </c>
      <c r="L114" s="22" t="s">
        <v>279</v>
      </c>
      <c r="M114" s="22" t="s">
        <v>1278</v>
      </c>
      <c r="N114" s="22" t="s">
        <v>1279</v>
      </c>
      <c r="O114" s="30" t="s">
        <v>151</v>
      </c>
      <c r="P114" s="29" t="s">
        <v>151</v>
      </c>
      <c r="Q114" s="22" t="s">
        <v>1280</v>
      </c>
      <c r="R114" s="22" t="s">
        <v>127</v>
      </c>
      <c r="S114" s="22" t="s">
        <v>128</v>
      </c>
      <c r="T114" s="22" t="s">
        <v>1281</v>
      </c>
      <c r="U114" s="29" t="s">
        <v>165</v>
      </c>
      <c r="V114" s="29" t="s">
        <v>232</v>
      </c>
      <c r="W114" s="33" t="s">
        <v>71</v>
      </c>
      <c r="X114" s="29" t="s">
        <v>132</v>
      </c>
    </row>
    <row r="115" spans="1:24" ht="42" customHeight="1">
      <c r="A115" s="25" t="s">
        <v>1282</v>
      </c>
      <c r="B115" s="15" t="s">
        <v>37</v>
      </c>
      <c r="C115" s="15" t="s">
        <v>1283</v>
      </c>
      <c r="D115" s="15" t="s">
        <v>1284</v>
      </c>
      <c r="E115" s="15" t="s">
        <v>144</v>
      </c>
      <c r="F115" s="15" t="s">
        <v>389</v>
      </c>
      <c r="G115" s="15" t="s">
        <v>1285</v>
      </c>
      <c r="H115" s="15" t="s">
        <v>1286</v>
      </c>
      <c r="I115" s="15" t="s">
        <v>120</v>
      </c>
      <c r="J115" s="15" t="s">
        <v>1287</v>
      </c>
      <c r="K115" s="15" t="s">
        <v>1288</v>
      </c>
      <c r="L115" s="15" t="s">
        <v>531</v>
      </c>
      <c r="M115" s="15" t="s">
        <v>1289</v>
      </c>
      <c r="N115" s="15" t="s">
        <v>1290</v>
      </c>
      <c r="O115" s="31" t="s">
        <v>177</v>
      </c>
      <c r="P115" s="27" t="s">
        <v>177</v>
      </c>
      <c r="Q115" s="15" t="s">
        <v>1291</v>
      </c>
      <c r="R115" s="15" t="s">
        <v>127</v>
      </c>
      <c r="S115" s="15" t="s">
        <v>128</v>
      </c>
      <c r="T115" s="15" t="s">
        <v>555</v>
      </c>
      <c r="U115" s="27" t="s">
        <v>556</v>
      </c>
      <c r="V115" s="27" t="s">
        <v>131</v>
      </c>
      <c r="W115" s="27" t="s">
        <v>120</v>
      </c>
      <c r="X115" s="27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/>
  </sheetViews>
  <sheetFormatPr baseColWidth="10" defaultColWidth="8.6640625" defaultRowHeight="15"/>
  <cols>
    <col min="1" max="1" width="9" customWidth="1"/>
    <col min="2" max="2" width="26" customWidth="1"/>
    <col min="3" max="3" width="52" customWidth="1"/>
    <col min="4" max="4" width="42" customWidth="1"/>
    <col min="5" max="5" width="46" customWidth="1"/>
  </cols>
  <sheetData>
    <row r="1" spans="1:5" ht="21.75" customHeight="1">
      <c r="A1" s="8" t="s">
        <v>1292</v>
      </c>
    </row>
    <row r="2" spans="1:5" ht="15.75" customHeight="1">
      <c r="A2" s="9" t="s">
        <v>1293</v>
      </c>
    </row>
    <row r="3" spans="1:5" ht="13.5" customHeight="1">
      <c r="A3" s="10" t="s">
        <v>1294</v>
      </c>
    </row>
    <row r="4" spans="1:5" ht="13.5" customHeight="1">
      <c r="A4" s="11" t="s">
        <v>3</v>
      </c>
    </row>
    <row r="5" spans="1:5" ht="30" customHeight="1">
      <c r="A5" s="16" t="s">
        <v>1295</v>
      </c>
      <c r="B5" s="16" t="s">
        <v>1296</v>
      </c>
      <c r="C5" s="16" t="s">
        <v>1297</v>
      </c>
      <c r="D5" s="16" t="s">
        <v>1298</v>
      </c>
      <c r="E5" s="16" t="s">
        <v>1299</v>
      </c>
    </row>
    <row r="6" spans="1:5" ht="30" customHeight="1">
      <c r="A6" s="28" t="s">
        <v>511</v>
      </c>
      <c r="B6" s="22" t="s">
        <v>1300</v>
      </c>
      <c r="C6" s="22" t="s">
        <v>1301</v>
      </c>
      <c r="D6" s="22" t="s">
        <v>1302</v>
      </c>
      <c r="E6" s="22" t="s">
        <v>1303</v>
      </c>
    </row>
    <row r="7" spans="1:5" ht="30" customHeight="1">
      <c r="A7" s="25" t="s">
        <v>1304</v>
      </c>
      <c r="B7" s="15" t="s">
        <v>1305</v>
      </c>
      <c r="C7" s="15" t="s">
        <v>1306</v>
      </c>
      <c r="D7" s="15" t="s">
        <v>1307</v>
      </c>
      <c r="E7" s="15" t="s">
        <v>1308</v>
      </c>
    </row>
    <row r="8" spans="1:5" ht="30" customHeight="1">
      <c r="A8" s="28" t="s">
        <v>241</v>
      </c>
      <c r="B8" s="22" t="s">
        <v>1309</v>
      </c>
      <c r="C8" s="22" t="s">
        <v>1310</v>
      </c>
      <c r="D8" s="22" t="s">
        <v>1311</v>
      </c>
      <c r="E8" s="22" t="s">
        <v>1312</v>
      </c>
    </row>
    <row r="9" spans="1:5" ht="30" customHeight="1">
      <c r="A9" s="25" t="s">
        <v>263</v>
      </c>
      <c r="B9" s="15" t="s">
        <v>1313</v>
      </c>
      <c r="C9" s="15" t="s">
        <v>1314</v>
      </c>
      <c r="D9" s="15" t="s">
        <v>1315</v>
      </c>
      <c r="E9" s="15" t="s">
        <v>1316</v>
      </c>
    </row>
    <row r="10" spans="1:5" ht="30" customHeight="1">
      <c r="A10" s="28" t="s">
        <v>1171</v>
      </c>
      <c r="B10" s="22" t="s">
        <v>1317</v>
      </c>
      <c r="C10" s="22" t="s">
        <v>1318</v>
      </c>
      <c r="D10" s="22" t="s">
        <v>1319</v>
      </c>
      <c r="E10" s="22" t="s">
        <v>1320</v>
      </c>
    </row>
    <row r="11" spans="1:5" ht="30" customHeight="1">
      <c r="A11" s="25" t="s">
        <v>1321</v>
      </c>
      <c r="B11" s="15" t="s">
        <v>1322</v>
      </c>
      <c r="C11" s="15" t="s">
        <v>1323</v>
      </c>
      <c r="D11" s="15" t="s">
        <v>1324</v>
      </c>
      <c r="E11" s="15" t="s">
        <v>1325</v>
      </c>
    </row>
    <row r="12" spans="1:5" ht="30" customHeight="1">
      <c r="A12" s="28" t="s">
        <v>1326</v>
      </c>
      <c r="B12" s="22" t="s">
        <v>1327</v>
      </c>
      <c r="C12" s="22" t="s">
        <v>1328</v>
      </c>
      <c r="D12" s="22" t="s">
        <v>1329</v>
      </c>
      <c r="E12" s="22" t="s">
        <v>1330</v>
      </c>
    </row>
    <row r="13" spans="1:5" ht="30" customHeight="1">
      <c r="A13" s="25" t="s">
        <v>314</v>
      </c>
      <c r="B13" s="15" t="s">
        <v>1331</v>
      </c>
      <c r="C13" s="15" t="s">
        <v>1332</v>
      </c>
      <c r="D13" s="15" t="s">
        <v>1333</v>
      </c>
      <c r="E13" s="15" t="s">
        <v>1334</v>
      </c>
    </row>
    <row r="14" spans="1:5" ht="30" customHeight="1">
      <c r="A14" s="28" t="s">
        <v>174</v>
      </c>
      <c r="B14" s="22" t="s">
        <v>1335</v>
      </c>
      <c r="C14" s="22" t="s">
        <v>1336</v>
      </c>
      <c r="D14" s="22" t="s">
        <v>1337</v>
      </c>
      <c r="E14" s="22" t="s">
        <v>1338</v>
      </c>
    </row>
    <row r="15" spans="1:5" ht="30" customHeight="1">
      <c r="A15" s="25" t="s">
        <v>1339</v>
      </c>
      <c r="B15" s="15" t="s">
        <v>1340</v>
      </c>
      <c r="C15" s="15" t="s">
        <v>1341</v>
      </c>
      <c r="D15" s="15" t="s">
        <v>1342</v>
      </c>
      <c r="E15" s="15" t="s">
        <v>1343</v>
      </c>
    </row>
    <row r="16" spans="1:5" ht="30" customHeight="1">
      <c r="A16" s="28" t="s">
        <v>186</v>
      </c>
      <c r="B16" s="22" t="s">
        <v>1344</v>
      </c>
      <c r="C16" s="22" t="s">
        <v>1345</v>
      </c>
      <c r="D16" s="22" t="s">
        <v>1346</v>
      </c>
      <c r="E16" s="22" t="s">
        <v>1347</v>
      </c>
    </row>
    <row r="17" spans="1:5" ht="30" customHeight="1">
      <c r="A17" s="25" t="s">
        <v>122</v>
      </c>
      <c r="B17" s="15" t="s">
        <v>1348</v>
      </c>
      <c r="C17" s="15" t="s">
        <v>1349</v>
      </c>
      <c r="D17" s="15" t="s">
        <v>1350</v>
      </c>
      <c r="E17" s="15" t="s">
        <v>1351</v>
      </c>
    </row>
    <row r="18" spans="1:5" ht="30" customHeight="1">
      <c r="A18" s="28" t="s">
        <v>521</v>
      </c>
      <c r="B18" s="22" t="s">
        <v>1352</v>
      </c>
      <c r="C18" s="22" t="s">
        <v>1353</v>
      </c>
      <c r="D18" s="22" t="s">
        <v>1354</v>
      </c>
      <c r="E18" s="22" t="s">
        <v>1355</v>
      </c>
    </row>
    <row r="19" spans="1:5" ht="30" customHeight="1">
      <c r="A19" s="25" t="s">
        <v>1103</v>
      </c>
      <c r="B19" s="15" t="s">
        <v>1356</v>
      </c>
      <c r="C19" s="15" t="s">
        <v>1357</v>
      </c>
      <c r="D19" s="15" t="s">
        <v>1358</v>
      </c>
      <c r="E19" s="15" t="s">
        <v>1359</v>
      </c>
    </row>
    <row r="20" spans="1:5" ht="30" customHeight="1">
      <c r="A20" s="28" t="s">
        <v>162</v>
      </c>
      <c r="B20" s="22" t="s">
        <v>1360</v>
      </c>
      <c r="C20" s="22" t="s">
        <v>1361</v>
      </c>
      <c r="D20" s="22" t="s">
        <v>1362</v>
      </c>
      <c r="E20" s="22" t="s">
        <v>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workbookViewId="0"/>
  </sheetViews>
  <sheetFormatPr baseColWidth="10" defaultColWidth="8.6640625" defaultRowHeight="15"/>
  <cols>
    <col min="1" max="1" width="30" customWidth="1"/>
    <col min="2" max="11" width="24" customWidth="1"/>
  </cols>
  <sheetData>
    <row r="1" spans="1:11" ht="21.75" customHeight="1">
      <c r="A1" s="8" t="s">
        <v>1364</v>
      </c>
    </row>
    <row r="2" spans="1:11" ht="15.75" customHeight="1">
      <c r="A2" s="9" t="s">
        <v>1365</v>
      </c>
    </row>
    <row r="3" spans="1:11" ht="13.5" customHeight="1">
      <c r="A3" s="10" t="s">
        <v>1366</v>
      </c>
    </row>
    <row r="4" spans="1:11" ht="13.5" customHeight="1">
      <c r="A4" s="11" t="s">
        <v>3</v>
      </c>
    </row>
    <row r="5" spans="1:11" ht="30" customHeight="1">
      <c r="A5" s="16" t="s">
        <v>94</v>
      </c>
      <c r="B5" s="16" t="s">
        <v>309</v>
      </c>
      <c r="C5" s="16" t="s">
        <v>237</v>
      </c>
      <c r="D5" s="16" t="s">
        <v>389</v>
      </c>
      <c r="E5" s="16" t="s">
        <v>248</v>
      </c>
      <c r="F5" s="16" t="s">
        <v>273</v>
      </c>
      <c r="G5" s="16" t="s">
        <v>221</v>
      </c>
      <c r="H5" s="16" t="s">
        <v>910</v>
      </c>
      <c r="I5" s="16" t="s">
        <v>865</v>
      </c>
      <c r="J5" s="16" t="s">
        <v>366</v>
      </c>
      <c r="K5" s="16" t="s">
        <v>117</v>
      </c>
    </row>
    <row r="6" spans="1:11" ht="51.75" customHeight="1">
      <c r="A6" s="35" t="s">
        <v>1367</v>
      </c>
      <c r="B6" s="36" t="s">
        <v>1368</v>
      </c>
      <c r="C6" s="36" t="s">
        <v>1368</v>
      </c>
      <c r="D6" s="36" t="s">
        <v>1368</v>
      </c>
      <c r="E6" s="36" t="s">
        <v>1368</v>
      </c>
      <c r="F6" s="36" t="s">
        <v>1368</v>
      </c>
      <c r="G6" s="36" t="s">
        <v>1368</v>
      </c>
      <c r="H6" s="36" t="s">
        <v>1368</v>
      </c>
      <c r="I6" s="36" t="s">
        <v>1368</v>
      </c>
      <c r="J6" s="36" t="s">
        <v>1368</v>
      </c>
      <c r="K6" s="21" t="s">
        <v>1369</v>
      </c>
    </row>
    <row r="7" spans="1:11" ht="51.75" customHeight="1">
      <c r="A7" s="14" t="s">
        <v>1370</v>
      </c>
      <c r="B7" s="20" t="s">
        <v>1371</v>
      </c>
      <c r="C7" s="20" t="s">
        <v>234</v>
      </c>
      <c r="D7" s="20" t="s">
        <v>387</v>
      </c>
      <c r="E7" s="20" t="s">
        <v>1372</v>
      </c>
      <c r="F7" s="20" t="s">
        <v>48</v>
      </c>
      <c r="G7" s="20" t="s">
        <v>1373</v>
      </c>
      <c r="H7" s="20" t="s">
        <v>1374</v>
      </c>
      <c r="I7" s="20" t="s">
        <v>1375</v>
      </c>
      <c r="J7" s="20" t="s">
        <v>1376</v>
      </c>
      <c r="K7" s="37" t="s">
        <v>1368</v>
      </c>
    </row>
    <row r="8" spans="1:11" ht="51.75" customHeight="1">
      <c r="A8" s="35" t="s">
        <v>1377</v>
      </c>
      <c r="B8" s="21" t="s">
        <v>1378</v>
      </c>
      <c r="C8" s="21" t="s">
        <v>1379</v>
      </c>
      <c r="D8" s="21" t="s">
        <v>492</v>
      </c>
      <c r="E8" s="21" t="s">
        <v>445</v>
      </c>
      <c r="F8" s="21" t="s">
        <v>1380</v>
      </c>
      <c r="G8" s="21" t="s">
        <v>1381</v>
      </c>
      <c r="H8" s="36" t="s">
        <v>1382</v>
      </c>
      <c r="I8" s="36" t="s">
        <v>1383</v>
      </c>
      <c r="J8" s="21" t="s">
        <v>1384</v>
      </c>
      <c r="K8" s="36" t="s">
        <v>1368</v>
      </c>
    </row>
    <row r="9" spans="1:11" ht="51.75" customHeight="1">
      <c r="A9" s="14" t="s">
        <v>1385</v>
      </c>
      <c r="B9" s="20" t="s">
        <v>1386</v>
      </c>
      <c r="C9" s="37" t="s">
        <v>1387</v>
      </c>
      <c r="D9" s="37" t="s">
        <v>1388</v>
      </c>
      <c r="E9" s="37" t="s">
        <v>1389</v>
      </c>
      <c r="F9" s="20" t="s">
        <v>1390</v>
      </c>
      <c r="G9" s="20" t="s">
        <v>1391</v>
      </c>
      <c r="H9" s="37" t="s">
        <v>1392</v>
      </c>
      <c r="I9" s="37" t="s">
        <v>1393</v>
      </c>
      <c r="J9" s="20" t="s">
        <v>1394</v>
      </c>
      <c r="K9" s="37" t="s">
        <v>1368</v>
      </c>
    </row>
    <row r="10" spans="1:11" ht="51.75" customHeight="1">
      <c r="A10" s="35" t="s">
        <v>1395</v>
      </c>
      <c r="B10" s="21" t="s">
        <v>678</v>
      </c>
      <c r="C10" s="21" t="s">
        <v>1396</v>
      </c>
      <c r="D10" s="21" t="s">
        <v>1397</v>
      </c>
      <c r="E10" s="36" t="s">
        <v>1398</v>
      </c>
      <c r="F10" s="21" t="s">
        <v>1399</v>
      </c>
      <c r="G10" s="21" t="s">
        <v>1400</v>
      </c>
      <c r="H10" s="36" t="s">
        <v>1401</v>
      </c>
      <c r="I10" s="21" t="s">
        <v>1402</v>
      </c>
      <c r="J10" s="36" t="s">
        <v>1403</v>
      </c>
      <c r="K10" s="36" t="s">
        <v>1368</v>
      </c>
    </row>
    <row r="11" spans="1:11" ht="51.75" customHeight="1">
      <c r="A11" s="14" t="s">
        <v>1404</v>
      </c>
      <c r="B11" s="20" t="s">
        <v>1405</v>
      </c>
      <c r="C11" s="20" t="s">
        <v>1406</v>
      </c>
      <c r="D11" s="20" t="s">
        <v>875</v>
      </c>
      <c r="E11" s="20" t="s">
        <v>1407</v>
      </c>
      <c r="F11" s="20" t="s">
        <v>768</v>
      </c>
      <c r="G11" s="37" t="s">
        <v>1408</v>
      </c>
      <c r="H11" s="37" t="s">
        <v>1409</v>
      </c>
      <c r="I11" s="20" t="s">
        <v>863</v>
      </c>
      <c r="J11" s="20" t="s">
        <v>830</v>
      </c>
      <c r="K11" s="37" t="s">
        <v>1368</v>
      </c>
    </row>
    <row r="12" spans="1:11" ht="51.75" customHeight="1">
      <c r="A12" s="35" t="s">
        <v>1410</v>
      </c>
      <c r="B12" s="36" t="s">
        <v>1411</v>
      </c>
      <c r="C12" s="21" t="s">
        <v>1412</v>
      </c>
      <c r="D12" s="36" t="s">
        <v>1413</v>
      </c>
      <c r="E12" s="36" t="s">
        <v>1414</v>
      </c>
      <c r="F12" s="36" t="s">
        <v>1415</v>
      </c>
      <c r="G12" s="21" t="s">
        <v>896</v>
      </c>
      <c r="H12" s="36" t="s">
        <v>1416</v>
      </c>
      <c r="I12" s="21" t="s">
        <v>1417</v>
      </c>
      <c r="J12" s="36" t="s">
        <v>1418</v>
      </c>
      <c r="K12" s="36" t="s">
        <v>1368</v>
      </c>
    </row>
    <row r="13" spans="1:11" ht="51.75" customHeight="1">
      <c r="A13" s="14" t="s">
        <v>1419</v>
      </c>
      <c r="B13" s="37" t="s">
        <v>1420</v>
      </c>
      <c r="C13" s="20" t="s">
        <v>1421</v>
      </c>
      <c r="D13" s="20" t="s">
        <v>1031</v>
      </c>
      <c r="E13" s="37" t="s">
        <v>1422</v>
      </c>
      <c r="F13" s="20" t="s">
        <v>1423</v>
      </c>
      <c r="G13" s="20" t="s">
        <v>1424</v>
      </c>
      <c r="H13" s="20" t="s">
        <v>1425</v>
      </c>
      <c r="I13" s="20" t="s">
        <v>1008</v>
      </c>
      <c r="J13" s="37" t="s">
        <v>1426</v>
      </c>
      <c r="K13" s="37" t="s">
        <v>1368</v>
      </c>
    </row>
    <row r="14" spans="1:11" ht="51.75" customHeight="1">
      <c r="A14" s="35" t="s">
        <v>725</v>
      </c>
      <c r="B14" s="36" t="s">
        <v>1427</v>
      </c>
      <c r="C14" s="36" t="s">
        <v>1428</v>
      </c>
      <c r="D14" s="21" t="s">
        <v>1429</v>
      </c>
      <c r="E14" s="36" t="s">
        <v>1430</v>
      </c>
      <c r="F14" s="21" t="s">
        <v>1431</v>
      </c>
      <c r="G14" s="21" t="s">
        <v>723</v>
      </c>
      <c r="H14" s="36" t="s">
        <v>1416</v>
      </c>
      <c r="I14" s="36" t="s">
        <v>1432</v>
      </c>
      <c r="J14" s="36" t="s">
        <v>1433</v>
      </c>
      <c r="K14" s="36" t="s">
        <v>1368</v>
      </c>
    </row>
    <row r="15" spans="1:11" ht="51.75" customHeight="1">
      <c r="A15" s="14" t="s">
        <v>1434</v>
      </c>
      <c r="B15" s="20" t="s">
        <v>1435</v>
      </c>
      <c r="C15" s="20" t="s">
        <v>1436</v>
      </c>
      <c r="D15" s="37" t="s">
        <v>1437</v>
      </c>
      <c r="E15" s="20" t="s">
        <v>1438</v>
      </c>
      <c r="F15" s="37" t="s">
        <v>1439</v>
      </c>
      <c r="G15" s="37" t="s">
        <v>1440</v>
      </c>
      <c r="H15" s="37" t="s">
        <v>1441</v>
      </c>
      <c r="I15" s="37" t="s">
        <v>1368</v>
      </c>
      <c r="J15" s="20" t="s">
        <v>1442</v>
      </c>
      <c r="K15" s="37" t="s">
        <v>1368</v>
      </c>
    </row>
    <row r="16" spans="1:11" ht="51.75" customHeight="1">
      <c r="A16" s="35" t="s">
        <v>1443</v>
      </c>
      <c r="B16" s="36" t="s">
        <v>1444</v>
      </c>
      <c r="C16" s="21" t="s">
        <v>1445</v>
      </c>
      <c r="D16" s="21" t="s">
        <v>1446</v>
      </c>
      <c r="E16" s="36" t="s">
        <v>1368</v>
      </c>
      <c r="F16" s="21" t="s">
        <v>1447</v>
      </c>
      <c r="G16" s="36" t="s">
        <v>1448</v>
      </c>
      <c r="H16" s="21" t="s">
        <v>1449</v>
      </c>
      <c r="I16" s="36" t="s">
        <v>1368</v>
      </c>
      <c r="J16" s="36" t="s">
        <v>1450</v>
      </c>
      <c r="K16" s="36" t="s">
        <v>1368</v>
      </c>
    </row>
    <row r="17" spans="1:11" ht="51.75" customHeight="1">
      <c r="A17" s="14" t="s">
        <v>1451</v>
      </c>
      <c r="B17" s="20" t="s">
        <v>1259</v>
      </c>
      <c r="C17" s="20" t="s">
        <v>1452</v>
      </c>
      <c r="D17" s="20" t="s">
        <v>1453</v>
      </c>
      <c r="E17" s="37" t="s">
        <v>1454</v>
      </c>
      <c r="F17" s="20" t="s">
        <v>1455</v>
      </c>
      <c r="G17" s="20" t="s">
        <v>1456</v>
      </c>
      <c r="H17" s="20" t="s">
        <v>1457</v>
      </c>
      <c r="I17" s="20" t="s">
        <v>1270</v>
      </c>
      <c r="J17" s="37" t="s">
        <v>1458</v>
      </c>
      <c r="K17" s="37" t="s">
        <v>1368</v>
      </c>
    </row>
    <row r="18" spans="1:11" ht="51.75" customHeight="1">
      <c r="A18" s="35" t="s">
        <v>1459</v>
      </c>
      <c r="B18" s="21" t="s">
        <v>1460</v>
      </c>
      <c r="C18" s="36" t="s">
        <v>1368</v>
      </c>
      <c r="D18" s="36" t="s">
        <v>1461</v>
      </c>
      <c r="E18" s="36" t="s">
        <v>1368</v>
      </c>
      <c r="F18" s="36" t="s">
        <v>1368</v>
      </c>
      <c r="G18" s="21" t="s">
        <v>1095</v>
      </c>
      <c r="H18" s="36" t="s">
        <v>1368</v>
      </c>
      <c r="I18" s="36" t="s">
        <v>1368</v>
      </c>
      <c r="J18" s="36" t="s">
        <v>1368</v>
      </c>
      <c r="K18" s="36" t="s">
        <v>1368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workbookViewId="0"/>
  </sheetViews>
  <sheetFormatPr baseColWidth="10" defaultColWidth="8.6640625" defaultRowHeight="15"/>
  <cols>
    <col min="1" max="1" width="7" customWidth="1"/>
    <col min="2" max="2" width="26" customWidth="1"/>
    <col min="3" max="3" width="22" customWidth="1"/>
    <col min="4" max="4" width="44" customWidth="1"/>
    <col min="5" max="5" width="52" customWidth="1"/>
    <col min="6" max="6" width="34" customWidth="1"/>
  </cols>
  <sheetData>
    <row r="1" spans="1:6" ht="21.75" customHeight="1">
      <c r="A1" s="8" t="s">
        <v>1462</v>
      </c>
    </row>
    <row r="2" spans="1:6" ht="15.75" customHeight="1">
      <c r="A2" s="9" t="s">
        <v>1463</v>
      </c>
    </row>
    <row r="3" spans="1:6" ht="13.5" customHeight="1">
      <c r="A3" s="10" t="s">
        <v>1464</v>
      </c>
    </row>
    <row r="4" spans="1:6" ht="13.5" customHeight="1">
      <c r="A4" s="11" t="s">
        <v>3</v>
      </c>
    </row>
    <row r="5" spans="1:6" ht="30" customHeight="1">
      <c r="A5" s="16" t="s">
        <v>1465</v>
      </c>
      <c r="B5" s="16" t="s">
        <v>1466</v>
      </c>
      <c r="C5" s="16" t="s">
        <v>1467</v>
      </c>
      <c r="D5" s="16" t="s">
        <v>1468</v>
      </c>
      <c r="E5" s="16" t="s">
        <v>1469</v>
      </c>
      <c r="F5" s="16" t="s">
        <v>1470</v>
      </c>
    </row>
    <row r="6" spans="1:6" ht="45.75" customHeight="1">
      <c r="A6" s="28" t="s">
        <v>1471</v>
      </c>
      <c r="B6" s="35" t="s">
        <v>1472</v>
      </c>
      <c r="C6" s="28" t="s">
        <v>1473</v>
      </c>
      <c r="D6" s="22" t="s">
        <v>1474</v>
      </c>
      <c r="E6" s="22" t="s">
        <v>1475</v>
      </c>
      <c r="F6" s="22" t="s">
        <v>1476</v>
      </c>
    </row>
    <row r="7" spans="1:6" ht="45.75" customHeight="1">
      <c r="A7" s="25" t="s">
        <v>1477</v>
      </c>
      <c r="B7" s="14" t="s">
        <v>1478</v>
      </c>
      <c r="C7" s="25" t="s">
        <v>1479</v>
      </c>
      <c r="D7" s="15" t="s">
        <v>1480</v>
      </c>
      <c r="E7" s="15" t="s">
        <v>1481</v>
      </c>
      <c r="F7" s="15" t="s">
        <v>1482</v>
      </c>
    </row>
    <row r="8" spans="1:6" ht="45.75" customHeight="1">
      <c r="A8" s="28" t="s">
        <v>1483</v>
      </c>
      <c r="B8" s="35" t="s">
        <v>1484</v>
      </c>
      <c r="C8" s="28" t="s">
        <v>1485</v>
      </c>
      <c r="D8" s="22" t="s">
        <v>1486</v>
      </c>
      <c r="E8" s="22" t="s">
        <v>1487</v>
      </c>
      <c r="F8" s="22" t="s">
        <v>1488</v>
      </c>
    </row>
    <row r="9" spans="1:6" ht="45.75" customHeight="1">
      <c r="A9" s="25" t="s">
        <v>1489</v>
      </c>
      <c r="B9" s="14" t="s">
        <v>1490</v>
      </c>
      <c r="C9" s="25" t="s">
        <v>1491</v>
      </c>
      <c r="D9" s="15" t="s">
        <v>1492</v>
      </c>
      <c r="E9" s="15" t="s">
        <v>1493</v>
      </c>
      <c r="F9" s="15" t="s">
        <v>1494</v>
      </c>
    </row>
    <row r="10" spans="1:6" ht="45.75" customHeight="1">
      <c r="A10" s="28" t="s">
        <v>1495</v>
      </c>
      <c r="B10" s="35" t="s">
        <v>1496</v>
      </c>
      <c r="C10" s="28" t="s">
        <v>1497</v>
      </c>
      <c r="D10" s="22" t="s">
        <v>1498</v>
      </c>
      <c r="E10" s="22" t="s">
        <v>1499</v>
      </c>
      <c r="F10" s="22" t="s">
        <v>1500</v>
      </c>
    </row>
    <row r="11" spans="1:6" ht="45.75" customHeight="1">
      <c r="A11" s="25" t="s">
        <v>1501</v>
      </c>
      <c r="B11" s="14" t="s">
        <v>1502</v>
      </c>
      <c r="C11" s="25" t="s">
        <v>1503</v>
      </c>
      <c r="D11" s="15" t="s">
        <v>1504</v>
      </c>
      <c r="E11" s="15" t="s">
        <v>1505</v>
      </c>
      <c r="F11" s="15" t="s">
        <v>1506</v>
      </c>
    </row>
    <row r="12" spans="1:6" ht="45.75" customHeight="1">
      <c r="A12" s="28" t="s">
        <v>1507</v>
      </c>
      <c r="B12" s="35" t="s">
        <v>1508</v>
      </c>
      <c r="C12" s="28" t="s">
        <v>1509</v>
      </c>
      <c r="D12" s="22" t="s">
        <v>1510</v>
      </c>
      <c r="E12" s="22" t="s">
        <v>1511</v>
      </c>
      <c r="F12" s="22" t="s">
        <v>1512</v>
      </c>
    </row>
    <row r="13" spans="1:6" ht="45.75" customHeight="1">
      <c r="A13" s="25" t="s">
        <v>1513</v>
      </c>
      <c r="B13" s="14" t="s">
        <v>1514</v>
      </c>
      <c r="C13" s="25" t="s">
        <v>1515</v>
      </c>
      <c r="D13" s="15" t="s">
        <v>1516</v>
      </c>
      <c r="E13" s="15" t="s">
        <v>1517</v>
      </c>
      <c r="F13" s="15" t="s">
        <v>1518</v>
      </c>
    </row>
    <row r="14" spans="1:6" ht="45.75" customHeight="1">
      <c r="A14" s="28" t="s">
        <v>1519</v>
      </c>
      <c r="B14" s="35" t="s">
        <v>1520</v>
      </c>
      <c r="C14" s="28" t="s">
        <v>1521</v>
      </c>
      <c r="D14" s="22" t="s">
        <v>1522</v>
      </c>
      <c r="E14" s="22" t="s">
        <v>1523</v>
      </c>
      <c r="F14" s="22" t="s">
        <v>1524</v>
      </c>
    </row>
    <row r="15" spans="1:6" ht="45.75" customHeight="1">
      <c r="A15" s="25" t="s">
        <v>1525</v>
      </c>
      <c r="B15" s="14" t="s">
        <v>1526</v>
      </c>
      <c r="C15" s="25" t="s">
        <v>1527</v>
      </c>
      <c r="D15" s="15" t="s">
        <v>1528</v>
      </c>
      <c r="E15" s="15" t="s">
        <v>1529</v>
      </c>
      <c r="F15" s="15" t="s">
        <v>1530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showGridLines="0" workbookViewId="0"/>
  </sheetViews>
  <sheetFormatPr baseColWidth="10" defaultColWidth="8.6640625" defaultRowHeight="15"/>
  <cols>
    <col min="1" max="1" width="13" customWidth="1"/>
    <col min="2" max="2" width="30" customWidth="1"/>
    <col min="3" max="4" width="34" customWidth="1"/>
    <col min="5" max="5" width="26" customWidth="1"/>
    <col min="6" max="6" width="42" customWidth="1"/>
  </cols>
  <sheetData>
    <row r="1" spans="1:6" ht="21.75" customHeight="1">
      <c r="A1" s="8" t="s">
        <v>1531</v>
      </c>
    </row>
    <row r="2" spans="1:6" ht="15.75" customHeight="1">
      <c r="A2" s="9" t="s">
        <v>1532</v>
      </c>
    </row>
    <row r="3" spans="1:6" ht="13.5" customHeight="1">
      <c r="A3" s="10" t="s">
        <v>1533</v>
      </c>
    </row>
    <row r="4" spans="1:6" ht="13.5" customHeight="1">
      <c r="A4" s="11" t="s">
        <v>3</v>
      </c>
    </row>
    <row r="5" spans="1:6" ht="30" customHeight="1">
      <c r="A5" s="16" t="s">
        <v>1534</v>
      </c>
      <c r="B5" s="16" t="s">
        <v>1535</v>
      </c>
      <c r="C5" s="16" t="s">
        <v>1536</v>
      </c>
      <c r="D5" s="16" t="s">
        <v>1537</v>
      </c>
      <c r="E5" s="16" t="s">
        <v>1538</v>
      </c>
      <c r="F5" s="16" t="s">
        <v>1539</v>
      </c>
    </row>
    <row r="6" spans="1:6" ht="15" customHeight="1">
      <c r="A6" s="12" t="s">
        <v>1540</v>
      </c>
      <c r="B6" s="13"/>
      <c r="C6" s="13"/>
      <c r="D6" s="13"/>
      <c r="E6" s="13"/>
      <c r="F6" s="13"/>
    </row>
    <row r="7" spans="1:6" ht="25.5" customHeight="1">
      <c r="A7" s="15" t="s">
        <v>1540</v>
      </c>
      <c r="B7" s="38" t="s">
        <v>1541</v>
      </c>
      <c r="C7" s="15" t="s">
        <v>1542</v>
      </c>
      <c r="D7" s="15" t="s">
        <v>312</v>
      </c>
      <c r="E7" s="15" t="s">
        <v>1543</v>
      </c>
      <c r="F7" s="15" t="s">
        <v>1544</v>
      </c>
    </row>
    <row r="8" spans="1:6" ht="25.5" customHeight="1">
      <c r="A8" s="22" t="s">
        <v>1540</v>
      </c>
      <c r="B8" s="39" t="s">
        <v>1545</v>
      </c>
      <c r="C8" s="22" t="s">
        <v>275</v>
      </c>
      <c r="D8" s="22" t="s">
        <v>276</v>
      </c>
      <c r="E8" s="22" t="s">
        <v>1546</v>
      </c>
      <c r="F8" s="22" t="s">
        <v>1547</v>
      </c>
    </row>
    <row r="9" spans="1:6" ht="25.5" customHeight="1">
      <c r="A9" s="15" t="s">
        <v>1540</v>
      </c>
      <c r="B9" s="38" t="s">
        <v>1548</v>
      </c>
      <c r="C9" s="15" t="s">
        <v>322</v>
      </c>
      <c r="D9" s="15" t="s">
        <v>323</v>
      </c>
      <c r="E9" s="15" t="s">
        <v>1549</v>
      </c>
      <c r="F9" s="15" t="s">
        <v>1550</v>
      </c>
    </row>
    <row r="10" spans="1:6" ht="25.5" customHeight="1">
      <c r="A10" s="22" t="s">
        <v>1540</v>
      </c>
      <c r="B10" s="39" t="s">
        <v>1551</v>
      </c>
      <c r="C10" s="22" t="s">
        <v>334</v>
      </c>
      <c r="D10" s="22" t="s">
        <v>1552</v>
      </c>
      <c r="E10" s="22" t="s">
        <v>1553</v>
      </c>
      <c r="F10" s="22" t="s">
        <v>1554</v>
      </c>
    </row>
    <row r="11" spans="1:6" ht="25.5" customHeight="1">
      <c r="A11" s="15" t="s">
        <v>1540</v>
      </c>
      <c r="B11" s="38" t="s">
        <v>1555</v>
      </c>
      <c r="C11" s="15" t="s">
        <v>1556</v>
      </c>
      <c r="D11" s="15" t="s">
        <v>1557</v>
      </c>
      <c r="E11" s="15" t="s">
        <v>1558</v>
      </c>
      <c r="F11" s="15" t="s">
        <v>1559</v>
      </c>
    </row>
    <row r="12" spans="1:6" ht="25.5" customHeight="1">
      <c r="A12" s="22" t="s">
        <v>1540</v>
      </c>
      <c r="B12" s="39" t="s">
        <v>1560</v>
      </c>
      <c r="C12" s="22" t="s">
        <v>357</v>
      </c>
      <c r="D12" s="22" t="s">
        <v>1561</v>
      </c>
      <c r="E12" s="22" t="s">
        <v>120</v>
      </c>
      <c r="F12" s="22" t="s">
        <v>1562</v>
      </c>
    </row>
    <row r="13" spans="1:6" ht="25.5" customHeight="1">
      <c r="A13" s="15" t="s">
        <v>1540</v>
      </c>
      <c r="B13" s="38" t="s">
        <v>1563</v>
      </c>
      <c r="C13" s="15" t="s">
        <v>1564</v>
      </c>
      <c r="D13" s="15" t="s">
        <v>1565</v>
      </c>
      <c r="E13" s="15" t="s">
        <v>1566</v>
      </c>
      <c r="F13" s="15" t="s">
        <v>1567</v>
      </c>
    </row>
    <row r="14" spans="1:6" ht="15" customHeight="1">
      <c r="A14" s="12" t="s">
        <v>1568</v>
      </c>
      <c r="B14" s="13"/>
      <c r="C14" s="13"/>
      <c r="D14" s="13"/>
      <c r="E14" s="13"/>
      <c r="F14" s="13"/>
    </row>
    <row r="15" spans="1:6" ht="25.5" customHeight="1">
      <c r="A15" s="15" t="s">
        <v>1568</v>
      </c>
      <c r="B15" s="38" t="s">
        <v>1569</v>
      </c>
      <c r="C15" s="15" t="s">
        <v>437</v>
      </c>
      <c r="D15" s="15" t="s">
        <v>438</v>
      </c>
      <c r="E15" s="15" t="s">
        <v>1570</v>
      </c>
      <c r="F15" s="15" t="s">
        <v>1571</v>
      </c>
    </row>
    <row r="16" spans="1:6" ht="25.5" customHeight="1">
      <c r="A16" s="22" t="s">
        <v>1568</v>
      </c>
      <c r="B16" s="39" t="s">
        <v>1572</v>
      </c>
      <c r="C16" s="22" t="s">
        <v>1573</v>
      </c>
      <c r="D16" s="22" t="s">
        <v>1574</v>
      </c>
      <c r="E16" s="22" t="s">
        <v>1575</v>
      </c>
      <c r="F16" s="22" t="s">
        <v>1576</v>
      </c>
    </row>
    <row r="17" spans="1:6" ht="25.5" customHeight="1">
      <c r="A17" s="15" t="s">
        <v>1568</v>
      </c>
      <c r="B17" s="38" t="s">
        <v>1577</v>
      </c>
      <c r="C17" s="15" t="s">
        <v>670</v>
      </c>
      <c r="D17" s="15" t="s">
        <v>1578</v>
      </c>
      <c r="E17" s="15" t="s">
        <v>1579</v>
      </c>
      <c r="F17" s="15" t="s">
        <v>1580</v>
      </c>
    </row>
    <row r="18" spans="1:6" ht="25.5" customHeight="1">
      <c r="A18" s="22" t="s">
        <v>1568</v>
      </c>
      <c r="B18" s="39" t="s">
        <v>1581</v>
      </c>
      <c r="C18" s="22" t="s">
        <v>1582</v>
      </c>
      <c r="D18" s="22" t="s">
        <v>1583</v>
      </c>
      <c r="E18" s="22" t="s">
        <v>1584</v>
      </c>
      <c r="F18" s="22" t="s">
        <v>1585</v>
      </c>
    </row>
    <row r="19" spans="1:6" ht="25.5" customHeight="1">
      <c r="A19" s="15" t="s">
        <v>1568</v>
      </c>
      <c r="B19" s="38" t="s">
        <v>1586</v>
      </c>
      <c r="C19" s="15" t="s">
        <v>1587</v>
      </c>
      <c r="D19" s="15" t="s">
        <v>485</v>
      </c>
      <c r="E19" s="15" t="s">
        <v>120</v>
      </c>
      <c r="F19" s="15" t="s">
        <v>1588</v>
      </c>
    </row>
    <row r="20" spans="1:6" ht="25.5" customHeight="1">
      <c r="A20" s="22" t="s">
        <v>1568</v>
      </c>
      <c r="B20" s="39" t="s">
        <v>1589</v>
      </c>
      <c r="C20" s="22" t="s">
        <v>1590</v>
      </c>
      <c r="D20" s="22" t="s">
        <v>1591</v>
      </c>
      <c r="E20" s="22" t="s">
        <v>1592</v>
      </c>
      <c r="F20" s="22" t="s">
        <v>1593</v>
      </c>
    </row>
    <row r="21" spans="1:6" ht="15" customHeight="1">
      <c r="A21" s="12" t="s">
        <v>606</v>
      </c>
      <c r="B21" s="13"/>
      <c r="C21" s="13"/>
      <c r="D21" s="13"/>
      <c r="E21" s="13"/>
      <c r="F21" s="13"/>
    </row>
    <row r="22" spans="1:6" ht="25.5" customHeight="1">
      <c r="A22" s="22" t="s">
        <v>606</v>
      </c>
      <c r="B22" s="39" t="s">
        <v>1594</v>
      </c>
      <c r="C22" s="22" t="s">
        <v>1595</v>
      </c>
      <c r="D22" s="22" t="s">
        <v>1596</v>
      </c>
      <c r="E22" s="22" t="s">
        <v>683</v>
      </c>
      <c r="F22" s="22" t="s">
        <v>1597</v>
      </c>
    </row>
    <row r="23" spans="1:6" ht="25.5" customHeight="1">
      <c r="A23" s="15" t="s">
        <v>606</v>
      </c>
      <c r="B23" s="38" t="s">
        <v>1598</v>
      </c>
      <c r="C23" s="15" t="s">
        <v>1599</v>
      </c>
      <c r="D23" s="15" t="s">
        <v>1600</v>
      </c>
      <c r="E23" s="15" t="s">
        <v>120</v>
      </c>
      <c r="F23" s="15" t="s">
        <v>1601</v>
      </c>
    </row>
    <row r="24" spans="1:6" ht="25.5" customHeight="1">
      <c r="A24" s="22" t="s">
        <v>606</v>
      </c>
      <c r="B24" s="39" t="s">
        <v>1602</v>
      </c>
      <c r="C24" s="22" t="s">
        <v>1603</v>
      </c>
      <c r="D24" s="22" t="s">
        <v>633</v>
      </c>
      <c r="E24" s="22" t="s">
        <v>634</v>
      </c>
      <c r="F24" s="22" t="s">
        <v>1604</v>
      </c>
    </row>
    <row r="25" spans="1:6" ht="25.5" customHeight="1">
      <c r="A25" s="15" t="s">
        <v>606</v>
      </c>
      <c r="B25" s="38" t="s">
        <v>1605</v>
      </c>
      <c r="C25" s="15" t="s">
        <v>1606</v>
      </c>
      <c r="D25" s="15" t="s">
        <v>646</v>
      </c>
      <c r="E25" s="15" t="s">
        <v>1607</v>
      </c>
      <c r="F25" s="15" t="s">
        <v>1608</v>
      </c>
    </row>
    <row r="26" spans="1:6" ht="25.5" customHeight="1">
      <c r="A26" s="22" t="s">
        <v>606</v>
      </c>
      <c r="B26" s="39" t="s">
        <v>1609</v>
      </c>
      <c r="C26" s="22" t="s">
        <v>1155</v>
      </c>
      <c r="D26" s="22" t="s">
        <v>1610</v>
      </c>
      <c r="E26" s="22" t="s">
        <v>1611</v>
      </c>
      <c r="F26" s="22" t="s">
        <v>1612</v>
      </c>
    </row>
    <row r="27" spans="1:6" ht="25.5" customHeight="1">
      <c r="A27" s="15" t="s">
        <v>606</v>
      </c>
      <c r="B27" s="38" t="s">
        <v>1613</v>
      </c>
      <c r="C27" s="15" t="s">
        <v>1614</v>
      </c>
      <c r="D27" s="15" t="s">
        <v>1192</v>
      </c>
      <c r="E27" s="15" t="s">
        <v>1615</v>
      </c>
      <c r="F27" s="15" t="s">
        <v>1616</v>
      </c>
    </row>
    <row r="28" spans="1:6" ht="25.5" customHeight="1">
      <c r="A28" s="22" t="s">
        <v>606</v>
      </c>
      <c r="B28" s="39" t="s">
        <v>1617</v>
      </c>
      <c r="C28" s="22" t="s">
        <v>1618</v>
      </c>
      <c r="D28" s="22" t="s">
        <v>1619</v>
      </c>
      <c r="E28" s="22" t="s">
        <v>1620</v>
      </c>
      <c r="F28" s="22" t="s">
        <v>1621</v>
      </c>
    </row>
    <row r="29" spans="1:6" ht="15" customHeight="1">
      <c r="A29" s="12" t="s">
        <v>909</v>
      </c>
      <c r="B29" s="13"/>
      <c r="C29" s="13"/>
      <c r="D29" s="13"/>
      <c r="E29" s="13"/>
      <c r="F29" s="13"/>
    </row>
    <row r="30" spans="1:6" ht="25.5" customHeight="1">
      <c r="A30" s="22" t="s">
        <v>909</v>
      </c>
      <c r="B30" s="39" t="s">
        <v>1622</v>
      </c>
      <c r="C30" s="22" t="s">
        <v>1623</v>
      </c>
      <c r="D30" s="22" t="s">
        <v>1624</v>
      </c>
      <c r="E30" s="22" t="s">
        <v>120</v>
      </c>
      <c r="F30" s="22" t="s">
        <v>1625</v>
      </c>
    </row>
    <row r="31" spans="1:6" ht="25.5" customHeight="1">
      <c r="A31" s="15" t="s">
        <v>909</v>
      </c>
      <c r="B31" s="38" t="s">
        <v>1626</v>
      </c>
      <c r="C31" s="15" t="s">
        <v>1627</v>
      </c>
      <c r="D31" s="15" t="s">
        <v>1628</v>
      </c>
      <c r="E31" s="15" t="s">
        <v>120</v>
      </c>
      <c r="F31" s="15" t="s">
        <v>1629</v>
      </c>
    </row>
    <row r="32" spans="1:6" ht="25.5" customHeight="1">
      <c r="A32" s="22" t="s">
        <v>909</v>
      </c>
      <c r="B32" s="39" t="s">
        <v>1630</v>
      </c>
      <c r="C32" s="22" t="s">
        <v>1631</v>
      </c>
      <c r="D32" s="22" t="s">
        <v>1632</v>
      </c>
      <c r="E32" s="22" t="s">
        <v>120</v>
      </c>
      <c r="F32" s="22" t="s">
        <v>1633</v>
      </c>
    </row>
    <row r="33" spans="1:6" ht="25.5" customHeight="1">
      <c r="A33" s="15" t="s">
        <v>909</v>
      </c>
      <c r="B33" s="38" t="s">
        <v>1634</v>
      </c>
      <c r="C33" s="15" t="s">
        <v>1635</v>
      </c>
      <c r="D33" s="15" t="s">
        <v>1636</v>
      </c>
      <c r="E33" s="15" t="s">
        <v>1637</v>
      </c>
      <c r="F33" s="15" t="s">
        <v>1638</v>
      </c>
    </row>
    <row r="34" spans="1:6" ht="15" customHeight="1">
      <c r="A34" s="12" t="s">
        <v>1639</v>
      </c>
      <c r="B34" s="13"/>
      <c r="C34" s="13"/>
      <c r="D34" s="13"/>
      <c r="E34" s="13"/>
      <c r="F34" s="13"/>
    </row>
    <row r="35" spans="1:6" ht="25.5" customHeight="1">
      <c r="A35" s="15" t="s">
        <v>1639</v>
      </c>
      <c r="B35" s="38" t="s">
        <v>1640</v>
      </c>
      <c r="C35" s="15" t="s">
        <v>1641</v>
      </c>
      <c r="D35" s="15" t="s">
        <v>1642</v>
      </c>
      <c r="E35" s="15" t="s">
        <v>120</v>
      </c>
      <c r="F35" s="15" t="s">
        <v>1643</v>
      </c>
    </row>
    <row r="36" spans="1:6" ht="25.5" customHeight="1">
      <c r="A36" s="22" t="s">
        <v>1639</v>
      </c>
      <c r="B36" s="39" t="s">
        <v>1644</v>
      </c>
      <c r="C36" s="22" t="s">
        <v>1645</v>
      </c>
      <c r="D36" s="22" t="s">
        <v>1646</v>
      </c>
      <c r="E36" s="22" t="s">
        <v>1647</v>
      </c>
      <c r="F36" s="22" t="s">
        <v>1648</v>
      </c>
    </row>
    <row r="37" spans="1:6" ht="25.5" customHeight="1">
      <c r="A37" s="15" t="s">
        <v>1639</v>
      </c>
      <c r="B37" s="38" t="s">
        <v>1649</v>
      </c>
      <c r="C37" s="15" t="s">
        <v>1650</v>
      </c>
      <c r="D37" s="15" t="s">
        <v>120</v>
      </c>
      <c r="E37" s="15" t="s">
        <v>120</v>
      </c>
      <c r="F37" s="15" t="s">
        <v>1651</v>
      </c>
    </row>
    <row r="38" spans="1:6" ht="15" customHeight="1">
      <c r="A38" s="12" t="s">
        <v>1652</v>
      </c>
      <c r="B38" s="13"/>
      <c r="C38" s="13"/>
      <c r="D38" s="13"/>
      <c r="E38" s="13"/>
      <c r="F38" s="13"/>
    </row>
    <row r="39" spans="1:6" ht="25.5" customHeight="1">
      <c r="A39" s="15" t="s">
        <v>1652</v>
      </c>
      <c r="B39" s="38" t="s">
        <v>1653</v>
      </c>
      <c r="C39" s="15" t="s">
        <v>1654</v>
      </c>
      <c r="D39" s="15" t="s">
        <v>1655</v>
      </c>
      <c r="E39" s="15" t="s">
        <v>120</v>
      </c>
      <c r="F39" s="15" t="s">
        <v>1656</v>
      </c>
    </row>
    <row r="40" spans="1:6" ht="25.5" customHeight="1">
      <c r="A40" s="22" t="s">
        <v>1652</v>
      </c>
      <c r="B40" s="39" t="s">
        <v>1657</v>
      </c>
      <c r="C40" s="22" t="s">
        <v>1658</v>
      </c>
      <c r="D40" s="22" t="s">
        <v>120</v>
      </c>
      <c r="E40" s="22" t="s">
        <v>120</v>
      </c>
      <c r="F40" s="22" t="s">
        <v>1659</v>
      </c>
    </row>
    <row r="41" spans="1:6" ht="15" customHeight="1">
      <c r="A41" s="12" t="s">
        <v>1660</v>
      </c>
      <c r="B41" s="13"/>
      <c r="C41" s="13"/>
      <c r="D41" s="13"/>
      <c r="E41" s="13"/>
      <c r="F41" s="13"/>
    </row>
    <row r="42" spans="1:6" ht="25.5" customHeight="1">
      <c r="A42" s="22" t="s">
        <v>1660</v>
      </c>
      <c r="B42" s="39" t="s">
        <v>1661</v>
      </c>
      <c r="C42" s="22" t="s">
        <v>1662</v>
      </c>
      <c r="D42" s="22" t="s">
        <v>120</v>
      </c>
      <c r="E42" s="22" t="s">
        <v>1663</v>
      </c>
      <c r="F42" s="22" t="s">
        <v>1664</v>
      </c>
    </row>
    <row r="43" spans="1:6" ht="25.5" customHeight="1">
      <c r="A43" s="15" t="s">
        <v>1660</v>
      </c>
      <c r="B43" s="38" t="s">
        <v>1665</v>
      </c>
      <c r="C43" s="15" t="s">
        <v>1666</v>
      </c>
      <c r="D43" s="15" t="s">
        <v>1667</v>
      </c>
      <c r="E43" s="15" t="s">
        <v>1668</v>
      </c>
      <c r="F43" s="15" t="s">
        <v>1669</v>
      </c>
    </row>
    <row r="44" spans="1:6" ht="15" customHeight="1">
      <c r="A44" s="12" t="s">
        <v>1670</v>
      </c>
      <c r="B44" s="13"/>
      <c r="C44" s="13"/>
      <c r="D44" s="13"/>
      <c r="E44" s="13"/>
      <c r="F44" s="13"/>
    </row>
    <row r="45" spans="1:6" ht="25.5" customHeight="1">
      <c r="A45" s="15" t="s">
        <v>1670</v>
      </c>
      <c r="B45" s="38" t="s">
        <v>1671</v>
      </c>
      <c r="C45" s="15" t="s">
        <v>1672</v>
      </c>
      <c r="D45" s="15" t="s">
        <v>1044</v>
      </c>
      <c r="E45" s="15" t="s">
        <v>120</v>
      </c>
      <c r="F45" s="15" t="s">
        <v>1673</v>
      </c>
    </row>
    <row r="46" spans="1:6" ht="25.5" customHeight="1">
      <c r="A46" s="22" t="s">
        <v>1670</v>
      </c>
      <c r="B46" s="39" t="s">
        <v>1674</v>
      </c>
      <c r="C46" s="22" t="s">
        <v>1675</v>
      </c>
      <c r="D46" s="22" t="s">
        <v>1676</v>
      </c>
      <c r="E46" s="22" t="s">
        <v>120</v>
      </c>
      <c r="F46" s="22" t="s">
        <v>1677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showGridLines="0" workbookViewId="0"/>
  </sheetViews>
  <sheetFormatPr baseColWidth="10" defaultColWidth="8.83203125" defaultRowHeight="15"/>
  <cols>
    <col min="1" max="1" width="24" customWidth="1"/>
    <col min="2" max="2" width="60" customWidth="1"/>
    <col min="3" max="3" width="70" customWidth="1"/>
    <col min="4" max="4" width="56" customWidth="1"/>
    <col min="5" max="5" width="36" customWidth="1"/>
  </cols>
  <sheetData>
    <row r="1" spans="1:5" ht="34" customHeight="1">
      <c r="A1" s="6" t="s">
        <v>1678</v>
      </c>
      <c r="B1" s="6"/>
      <c r="C1" s="6"/>
      <c r="D1" s="6"/>
      <c r="E1" s="6"/>
    </row>
    <row r="2" spans="1:5" ht="30" customHeight="1">
      <c r="A2" s="5" t="s">
        <v>1679</v>
      </c>
      <c r="B2" s="5"/>
      <c r="C2" s="5"/>
      <c r="D2" s="5"/>
      <c r="E2" s="5"/>
    </row>
    <row r="3" spans="1:5" ht="26" customHeight="1">
      <c r="A3" s="4" t="s">
        <v>1680</v>
      </c>
      <c r="B3" s="4"/>
      <c r="C3" s="4"/>
      <c r="D3" s="4"/>
      <c r="E3" s="4"/>
    </row>
    <row r="5" spans="1:5" ht="32" customHeight="1">
      <c r="A5" s="40" t="s">
        <v>24</v>
      </c>
      <c r="B5" s="49" t="s">
        <v>1681</v>
      </c>
      <c r="C5" s="41" t="s">
        <v>1682</v>
      </c>
      <c r="D5" s="41" t="s">
        <v>1683</v>
      </c>
      <c r="E5" s="42" t="s">
        <v>1684</v>
      </c>
    </row>
    <row r="6" spans="1:5">
      <c r="A6" s="43" t="s">
        <v>31</v>
      </c>
      <c r="B6" s="50">
        <v>18</v>
      </c>
      <c r="C6" s="44" t="b">
        <v>1</v>
      </c>
      <c r="D6" s="43" t="s">
        <v>1685</v>
      </c>
      <c r="E6" s="43" t="s">
        <v>1686</v>
      </c>
    </row>
    <row r="7" spans="1:5">
      <c r="A7" s="45" t="s">
        <v>32</v>
      </c>
      <c r="B7" s="51">
        <v>18</v>
      </c>
      <c r="C7" s="46" t="b">
        <v>1</v>
      </c>
      <c r="D7" s="45" t="s">
        <v>1687</v>
      </c>
      <c r="E7" s="45" t="s">
        <v>1686</v>
      </c>
    </row>
    <row r="8" spans="1:5">
      <c r="A8" s="45" t="s">
        <v>33</v>
      </c>
      <c r="B8" s="51">
        <v>14</v>
      </c>
      <c r="C8" s="46" t="b">
        <v>1</v>
      </c>
      <c r="D8" s="45" t="s">
        <v>1688</v>
      </c>
      <c r="E8" s="45" t="s">
        <v>1686</v>
      </c>
    </row>
    <row r="9" spans="1:5">
      <c r="A9" s="45" t="s">
        <v>34</v>
      </c>
      <c r="B9" s="51">
        <v>12</v>
      </c>
      <c r="C9" s="46" t="b">
        <v>1</v>
      </c>
      <c r="D9" s="45" t="s">
        <v>1689</v>
      </c>
      <c r="E9" s="45" t="s">
        <v>1686</v>
      </c>
    </row>
    <row r="10" spans="1:5">
      <c r="A10" s="45" t="s">
        <v>35</v>
      </c>
      <c r="B10" s="51">
        <v>18</v>
      </c>
      <c r="C10" s="46" t="b">
        <v>1</v>
      </c>
      <c r="D10" s="45" t="s">
        <v>1690</v>
      </c>
      <c r="E10" s="45" t="s">
        <v>1686</v>
      </c>
    </row>
    <row r="11" spans="1:5">
      <c r="A11" s="45" t="s">
        <v>36</v>
      </c>
      <c r="B11" s="51">
        <v>10</v>
      </c>
      <c r="C11" s="46" t="b">
        <v>1</v>
      </c>
      <c r="D11" s="45" t="s">
        <v>1691</v>
      </c>
      <c r="E11" s="45" t="s">
        <v>1686</v>
      </c>
    </row>
    <row r="12" spans="1:5" ht="26">
      <c r="A12" s="47" t="s">
        <v>37</v>
      </c>
      <c r="B12" s="47">
        <v>90</v>
      </c>
      <c r="C12" s="48" t="b">
        <v>0</v>
      </c>
      <c r="D12" s="47" t="s">
        <v>1692</v>
      </c>
      <c r="E12" s="47" t="s">
        <v>1693</v>
      </c>
    </row>
    <row r="15" spans="1:5" ht="32" customHeight="1">
      <c r="A15" s="40" t="s">
        <v>1694</v>
      </c>
      <c r="B15" s="41" t="s">
        <v>1695</v>
      </c>
      <c r="C15" s="42" t="s">
        <v>1696</v>
      </c>
    </row>
    <row r="16" spans="1:5">
      <c r="A16" s="43" t="s">
        <v>1697</v>
      </c>
      <c r="B16" s="43">
        <v>1</v>
      </c>
      <c r="C16" s="43" t="s">
        <v>1698</v>
      </c>
    </row>
    <row r="17" spans="1:3">
      <c r="A17" s="45" t="s">
        <v>1699</v>
      </c>
      <c r="B17" s="45">
        <v>0.5</v>
      </c>
      <c r="C17" s="45" t="s">
        <v>1700</v>
      </c>
    </row>
    <row r="18" spans="1:3">
      <c r="A18" s="45" t="s">
        <v>1701</v>
      </c>
      <c r="B18" s="45">
        <v>0</v>
      </c>
      <c r="C18" s="45" t="s">
        <v>1702</v>
      </c>
    </row>
    <row r="19" spans="1:3">
      <c r="A19" s="45" t="s">
        <v>1703</v>
      </c>
      <c r="B19" s="45"/>
      <c r="C19" s="45" t="s">
        <v>1704</v>
      </c>
    </row>
    <row r="20" spans="1:3">
      <c r="A20" s="45" t="s">
        <v>1705</v>
      </c>
      <c r="B20" s="45"/>
      <c r="C20" s="45" t="s">
        <v>1706</v>
      </c>
    </row>
    <row r="21" spans="1:3">
      <c r="A21" s="47" t="s">
        <v>1707</v>
      </c>
      <c r="B21" s="47"/>
      <c r="C21" s="47" t="s">
        <v>1708</v>
      </c>
    </row>
    <row r="24" spans="1:3" ht="32" customHeight="1">
      <c r="A24" s="40" t="s">
        <v>1709</v>
      </c>
      <c r="B24" s="41" t="s">
        <v>1710</v>
      </c>
      <c r="C24" s="42" t="s">
        <v>1711</v>
      </c>
    </row>
    <row r="25" spans="1:3">
      <c r="A25" s="43" t="s">
        <v>1712</v>
      </c>
      <c r="B25" s="43">
        <v>1</v>
      </c>
      <c r="C25" s="43" t="s">
        <v>1713</v>
      </c>
    </row>
    <row r="26" spans="1:3">
      <c r="A26" s="45" t="s">
        <v>1714</v>
      </c>
      <c r="B26" s="45">
        <v>0.7</v>
      </c>
      <c r="C26" s="45" t="s">
        <v>1715</v>
      </c>
    </row>
    <row r="27" spans="1:3">
      <c r="A27" s="47" t="s">
        <v>1716</v>
      </c>
      <c r="B27" s="47">
        <v>0.4</v>
      </c>
      <c r="C27" s="47" t="s">
        <v>1717</v>
      </c>
    </row>
    <row r="30" spans="1:3" ht="32" customHeight="1">
      <c r="A30" s="40" t="s">
        <v>1718</v>
      </c>
      <c r="B30" s="41" t="s">
        <v>1719</v>
      </c>
      <c r="C30" s="42" t="s">
        <v>1720</v>
      </c>
    </row>
    <row r="31" spans="1:3">
      <c r="A31" s="43" t="s">
        <v>1721</v>
      </c>
      <c r="B31" s="43" t="s">
        <v>1722</v>
      </c>
      <c r="C31" s="43" t="s">
        <v>1723</v>
      </c>
    </row>
    <row r="32" spans="1:3">
      <c r="A32" s="45" t="s">
        <v>1724</v>
      </c>
      <c r="B32" s="45" t="s">
        <v>1725</v>
      </c>
      <c r="C32" s="45" t="s">
        <v>1726</v>
      </c>
    </row>
    <row r="33" spans="1:3">
      <c r="A33" s="45" t="s">
        <v>1727</v>
      </c>
      <c r="B33" s="45" t="s">
        <v>1728</v>
      </c>
      <c r="C33" s="45" t="s">
        <v>1729</v>
      </c>
    </row>
    <row r="34" spans="1:3">
      <c r="A34" s="45" t="s">
        <v>1730</v>
      </c>
      <c r="B34" s="45" t="s">
        <v>1731</v>
      </c>
      <c r="C34" s="45" t="s">
        <v>1732</v>
      </c>
    </row>
    <row r="35" spans="1:3">
      <c r="A35" s="45" t="s">
        <v>1733</v>
      </c>
      <c r="B35" s="45" t="s">
        <v>1734</v>
      </c>
      <c r="C35" s="45" t="s">
        <v>1735</v>
      </c>
    </row>
    <row r="36" spans="1:3">
      <c r="A36" s="47" t="s">
        <v>1721</v>
      </c>
      <c r="B36" s="47" t="s">
        <v>1736</v>
      </c>
      <c r="C36" s="47" t="s">
        <v>1737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workbookViewId="0"/>
  </sheetViews>
  <sheetFormatPr baseColWidth="10" defaultColWidth="8.83203125" defaultRowHeight="15"/>
  <cols>
    <col min="1" max="1" width="8" customWidth="1"/>
    <col min="2" max="2" width="28" customWidth="1"/>
    <col min="3" max="3" width="62" customWidth="1"/>
    <col min="4" max="4" width="28" customWidth="1"/>
    <col min="5" max="5" width="50" customWidth="1"/>
    <col min="6" max="6" width="58" customWidth="1"/>
  </cols>
  <sheetData>
    <row r="1" spans="1:6" ht="34" customHeight="1">
      <c r="A1" s="6" t="s">
        <v>1738</v>
      </c>
      <c r="B1" s="6"/>
      <c r="C1" s="6"/>
      <c r="D1" s="6"/>
      <c r="E1" s="6"/>
      <c r="F1" s="6"/>
    </row>
    <row r="2" spans="1:6" ht="30" customHeight="1">
      <c r="A2" s="5" t="s">
        <v>1739</v>
      </c>
      <c r="B2" s="5"/>
      <c r="C2" s="5"/>
      <c r="D2" s="5"/>
      <c r="E2" s="5"/>
      <c r="F2" s="5"/>
    </row>
    <row r="3" spans="1:6" ht="26" customHeight="1">
      <c r="A3" s="4" t="s">
        <v>1680</v>
      </c>
      <c r="B3" s="4"/>
      <c r="C3" s="4"/>
      <c r="D3" s="4"/>
      <c r="E3" s="4"/>
      <c r="F3" s="4"/>
    </row>
    <row r="5" spans="1:6" ht="32" customHeight="1">
      <c r="A5" s="40" t="s">
        <v>1740</v>
      </c>
      <c r="B5" s="41" t="s">
        <v>1741</v>
      </c>
      <c r="C5" s="41" t="s">
        <v>1742</v>
      </c>
      <c r="D5" s="41" t="s">
        <v>1743</v>
      </c>
      <c r="E5" s="41" t="s">
        <v>1744</v>
      </c>
      <c r="F5" s="42" t="s">
        <v>1745</v>
      </c>
    </row>
    <row r="6" spans="1:6">
      <c r="A6" s="43">
        <v>1</v>
      </c>
      <c r="B6" s="43" t="s">
        <v>1746</v>
      </c>
      <c r="C6" s="43" t="s">
        <v>1747</v>
      </c>
      <c r="D6" s="43" t="s">
        <v>1748</v>
      </c>
      <c r="E6" s="43" t="s">
        <v>1749</v>
      </c>
      <c r="F6" s="43" t="s">
        <v>1750</v>
      </c>
    </row>
    <row r="7" spans="1:6">
      <c r="A7" s="45">
        <v>2</v>
      </c>
      <c r="B7" s="45" t="s">
        <v>1751</v>
      </c>
      <c r="C7" s="45" t="s">
        <v>1752</v>
      </c>
      <c r="D7" s="45" t="s">
        <v>1753</v>
      </c>
      <c r="E7" s="45" t="s">
        <v>1754</v>
      </c>
      <c r="F7" s="45" t="s">
        <v>1755</v>
      </c>
    </row>
    <row r="8" spans="1:6">
      <c r="A8" s="45">
        <v>3</v>
      </c>
      <c r="B8" s="45" t="s">
        <v>1756</v>
      </c>
      <c r="C8" s="45" t="s">
        <v>1757</v>
      </c>
      <c r="D8" s="45" t="s">
        <v>1758</v>
      </c>
      <c r="E8" s="45" t="s">
        <v>1759</v>
      </c>
      <c r="F8" s="45" t="s">
        <v>1760</v>
      </c>
    </row>
    <row r="9" spans="1:6">
      <c r="A9" s="45">
        <v>4</v>
      </c>
      <c r="B9" s="45" t="s">
        <v>1761</v>
      </c>
      <c r="C9" s="45" t="s">
        <v>1762</v>
      </c>
      <c r="D9" s="45" t="s">
        <v>1763</v>
      </c>
      <c r="E9" s="45" t="s">
        <v>1764</v>
      </c>
      <c r="F9" s="45" t="s">
        <v>1765</v>
      </c>
    </row>
    <row r="10" spans="1:6">
      <c r="A10" s="45">
        <v>5</v>
      </c>
      <c r="B10" s="45" t="s">
        <v>1766</v>
      </c>
      <c r="C10" s="45" t="s">
        <v>1767</v>
      </c>
      <c r="D10" s="45" t="s">
        <v>1768</v>
      </c>
      <c r="E10" s="45" t="s">
        <v>1769</v>
      </c>
      <c r="F10" s="45" t="s">
        <v>1770</v>
      </c>
    </row>
    <row r="11" spans="1:6">
      <c r="A11" s="45">
        <v>6</v>
      </c>
      <c r="B11" s="45" t="s">
        <v>1709</v>
      </c>
      <c r="C11" s="45" t="s">
        <v>1771</v>
      </c>
      <c r="D11" s="45" t="s">
        <v>1772</v>
      </c>
      <c r="E11" s="45" t="s">
        <v>1773</v>
      </c>
      <c r="F11" s="45" t="s">
        <v>1774</v>
      </c>
    </row>
    <row r="12" spans="1:6">
      <c r="A12" s="45">
        <v>7</v>
      </c>
      <c r="B12" s="45" t="s">
        <v>1775</v>
      </c>
      <c r="C12" s="45" t="s">
        <v>1776</v>
      </c>
      <c r="D12" s="45" t="s">
        <v>1777</v>
      </c>
      <c r="E12" s="45" t="s">
        <v>1778</v>
      </c>
      <c r="F12" s="45" t="s">
        <v>1779</v>
      </c>
    </row>
    <row r="13" spans="1:6">
      <c r="A13" s="45">
        <v>8</v>
      </c>
      <c r="B13" s="45" t="s">
        <v>1780</v>
      </c>
      <c r="C13" s="45" t="s">
        <v>1781</v>
      </c>
      <c r="D13" s="45" t="s">
        <v>1782</v>
      </c>
      <c r="E13" s="45" t="s">
        <v>1783</v>
      </c>
      <c r="F13" s="45" t="s">
        <v>1784</v>
      </c>
    </row>
    <row r="14" spans="1:6">
      <c r="A14" s="47">
        <v>9</v>
      </c>
      <c r="B14" s="47" t="s">
        <v>1785</v>
      </c>
      <c r="C14" s="47" t="s">
        <v>1786</v>
      </c>
      <c r="D14" s="47" t="s">
        <v>1787</v>
      </c>
      <c r="E14" s="47" t="s">
        <v>1788</v>
      </c>
      <c r="F14" s="47" t="s">
        <v>1789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7"/>
  <sheetViews>
    <sheetView showGridLines="0" workbookViewId="0">
      <selection sqref="A1:J1"/>
    </sheetView>
  </sheetViews>
  <sheetFormatPr baseColWidth="10" defaultColWidth="8.83203125" defaultRowHeight="15"/>
  <cols>
    <col min="1" max="1" width="8" customWidth="1"/>
    <col min="2" max="2" width="12" customWidth="1"/>
    <col min="3" max="3" width="16" customWidth="1"/>
    <col min="4" max="4" width="24" customWidth="1"/>
    <col min="5" max="5" width="42" customWidth="1"/>
    <col min="6" max="6" width="24" customWidth="1"/>
    <col min="7" max="8" width="14" customWidth="1"/>
    <col min="9" max="9" width="20" customWidth="1"/>
    <col min="10" max="10" width="14" customWidth="1"/>
  </cols>
  <sheetData>
    <row r="1" spans="1:10" ht="34" customHeight="1">
      <c r="A1" s="6" t="s">
        <v>1790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>
      <c r="A2" s="5" t="s">
        <v>1791</v>
      </c>
      <c r="B2" s="5"/>
      <c r="C2" s="5"/>
      <c r="D2" s="5"/>
      <c r="E2" s="5"/>
      <c r="F2" s="5"/>
      <c r="G2" s="5"/>
      <c r="H2" s="5"/>
      <c r="I2" s="5"/>
      <c r="J2" s="5"/>
    </row>
    <row r="3" spans="1:10" ht="26" customHeight="1">
      <c r="A3" s="4" t="s">
        <v>1792</v>
      </c>
      <c r="B3" s="4"/>
      <c r="C3" s="4"/>
      <c r="D3" s="4"/>
      <c r="E3" s="4"/>
      <c r="F3" s="4"/>
      <c r="G3" s="4"/>
      <c r="H3" s="4"/>
      <c r="I3" s="4"/>
      <c r="J3" s="4"/>
    </row>
    <row r="5" spans="1:10" ht="32" customHeight="1">
      <c r="A5" s="40" t="s">
        <v>1793</v>
      </c>
      <c r="B5" s="41" t="s">
        <v>91</v>
      </c>
      <c r="C5" s="41" t="s">
        <v>1794</v>
      </c>
      <c r="D5" s="41" t="s">
        <v>92</v>
      </c>
      <c r="E5" s="41" t="s">
        <v>93</v>
      </c>
      <c r="F5" s="41" t="s">
        <v>96</v>
      </c>
      <c r="G5" s="41" t="s">
        <v>1795</v>
      </c>
      <c r="H5" s="41" t="s">
        <v>1796</v>
      </c>
      <c r="I5" s="41" t="s">
        <v>15</v>
      </c>
      <c r="J5" s="42" t="s">
        <v>1797</v>
      </c>
    </row>
    <row r="6" spans="1:10">
      <c r="A6" s="43">
        <v>1</v>
      </c>
      <c r="B6" s="43" t="s">
        <v>113</v>
      </c>
      <c r="C6" s="43" t="s">
        <v>1798</v>
      </c>
      <c r="D6" s="43" t="s">
        <v>30</v>
      </c>
      <c r="E6" s="43" t="s">
        <v>114</v>
      </c>
      <c r="F6" s="43" t="s">
        <v>117</v>
      </c>
      <c r="G6" s="43">
        <v>0</v>
      </c>
      <c r="H6" s="43" t="s">
        <v>1799</v>
      </c>
      <c r="I6" s="43" t="s">
        <v>130</v>
      </c>
      <c r="J6" s="43" t="s">
        <v>1800</v>
      </c>
    </row>
    <row r="7" spans="1:10">
      <c r="A7" s="45">
        <v>2</v>
      </c>
      <c r="B7" s="45" t="s">
        <v>133</v>
      </c>
      <c r="C7" s="45" t="s">
        <v>1798</v>
      </c>
      <c r="D7" s="45" t="s">
        <v>30</v>
      </c>
      <c r="E7" s="45" t="s">
        <v>134</v>
      </c>
      <c r="F7" s="45" t="s">
        <v>117</v>
      </c>
      <c r="G7" s="45">
        <v>0</v>
      </c>
      <c r="H7" s="45" t="s">
        <v>1799</v>
      </c>
      <c r="I7" s="45" t="s">
        <v>130</v>
      </c>
      <c r="J7" s="45" t="s">
        <v>1800</v>
      </c>
    </row>
    <row r="8" spans="1:10">
      <c r="A8" s="45">
        <v>3</v>
      </c>
      <c r="B8" s="45" t="s">
        <v>142</v>
      </c>
      <c r="C8" s="45" t="s">
        <v>1798</v>
      </c>
      <c r="D8" s="45" t="s">
        <v>30</v>
      </c>
      <c r="E8" s="45" t="s">
        <v>143</v>
      </c>
      <c r="F8" s="45" t="s">
        <v>117</v>
      </c>
      <c r="G8" s="45">
        <v>0</v>
      </c>
      <c r="H8" s="45" t="s">
        <v>1799</v>
      </c>
      <c r="I8" s="45" t="s">
        <v>130</v>
      </c>
      <c r="J8" s="45" t="s">
        <v>1800</v>
      </c>
    </row>
    <row r="9" spans="1:10">
      <c r="A9" s="45">
        <v>4</v>
      </c>
      <c r="B9" s="45" t="s">
        <v>155</v>
      </c>
      <c r="C9" s="45" t="s">
        <v>1798</v>
      </c>
      <c r="D9" s="45" t="s">
        <v>30</v>
      </c>
      <c r="E9" s="45" t="s">
        <v>156</v>
      </c>
      <c r="F9" s="45" t="s">
        <v>117</v>
      </c>
      <c r="G9" s="45">
        <v>0</v>
      </c>
      <c r="H9" s="45" t="s">
        <v>1799</v>
      </c>
      <c r="I9" s="45" t="s">
        <v>165</v>
      </c>
      <c r="J9" s="45" t="s">
        <v>1800</v>
      </c>
    </row>
    <row r="10" spans="1:10">
      <c r="A10" s="45">
        <v>5</v>
      </c>
      <c r="B10" s="45" t="s">
        <v>166</v>
      </c>
      <c r="C10" s="45" t="s">
        <v>1798</v>
      </c>
      <c r="D10" s="45" t="s">
        <v>30</v>
      </c>
      <c r="E10" s="45" t="s">
        <v>167</v>
      </c>
      <c r="F10" s="45" t="s">
        <v>117</v>
      </c>
      <c r="G10" s="45">
        <v>0</v>
      </c>
      <c r="H10" s="45" t="s">
        <v>1799</v>
      </c>
      <c r="I10" s="45" t="s">
        <v>165</v>
      </c>
      <c r="J10" s="45" t="s">
        <v>1800</v>
      </c>
    </row>
    <row r="11" spans="1:10">
      <c r="A11" s="45">
        <v>6</v>
      </c>
      <c r="B11" s="45" t="s">
        <v>180</v>
      </c>
      <c r="C11" s="45" t="s">
        <v>1798</v>
      </c>
      <c r="D11" s="45" t="s">
        <v>30</v>
      </c>
      <c r="E11" s="45" t="s">
        <v>181</v>
      </c>
      <c r="F11" s="45" t="s">
        <v>117</v>
      </c>
      <c r="G11" s="45">
        <v>0</v>
      </c>
      <c r="H11" s="45" t="s">
        <v>1799</v>
      </c>
      <c r="I11" s="45" t="s">
        <v>165</v>
      </c>
      <c r="J11" s="45" t="s">
        <v>1800</v>
      </c>
    </row>
    <row r="12" spans="1:10">
      <c r="A12" s="45">
        <v>7</v>
      </c>
      <c r="B12" s="45" t="s">
        <v>191</v>
      </c>
      <c r="C12" s="45" t="s">
        <v>1798</v>
      </c>
      <c r="D12" s="45" t="s">
        <v>30</v>
      </c>
      <c r="E12" s="45" t="s">
        <v>192</v>
      </c>
      <c r="F12" s="45" t="s">
        <v>117</v>
      </c>
      <c r="G12" s="45">
        <v>0</v>
      </c>
      <c r="H12" s="45" t="s">
        <v>1799</v>
      </c>
      <c r="I12" s="45" t="s">
        <v>130</v>
      </c>
      <c r="J12" s="45" t="s">
        <v>1800</v>
      </c>
    </row>
    <row r="13" spans="1:10">
      <c r="A13" s="45">
        <v>8</v>
      </c>
      <c r="B13" s="45" t="s">
        <v>217</v>
      </c>
      <c r="C13" s="45" t="s">
        <v>1798</v>
      </c>
      <c r="D13" s="45" t="s">
        <v>31</v>
      </c>
      <c r="E13" s="45" t="s">
        <v>218</v>
      </c>
      <c r="F13" s="45" t="s">
        <v>221</v>
      </c>
      <c r="G13" s="45">
        <v>4</v>
      </c>
      <c r="H13" s="45" t="s">
        <v>1801</v>
      </c>
      <c r="I13" s="45" t="s">
        <v>130</v>
      </c>
      <c r="J13" s="45" t="s">
        <v>1800</v>
      </c>
    </row>
    <row r="14" spans="1:10">
      <c r="A14" s="45">
        <v>9</v>
      </c>
      <c r="B14" s="45" t="s">
        <v>234</v>
      </c>
      <c r="C14" s="45" t="s">
        <v>1798</v>
      </c>
      <c r="D14" s="45" t="s">
        <v>31</v>
      </c>
      <c r="E14" s="45" t="s">
        <v>235</v>
      </c>
      <c r="F14" s="45" t="s">
        <v>237</v>
      </c>
      <c r="G14" s="45">
        <v>4</v>
      </c>
      <c r="H14" s="45" t="s">
        <v>1801</v>
      </c>
      <c r="I14" s="45" t="s">
        <v>130</v>
      </c>
      <c r="J14" s="45" t="s">
        <v>1800</v>
      </c>
    </row>
    <row r="15" spans="1:10">
      <c r="A15" s="45">
        <v>10</v>
      </c>
      <c r="B15" s="45" t="s">
        <v>51</v>
      </c>
      <c r="C15" s="45" t="s">
        <v>1798</v>
      </c>
      <c r="D15" s="45" t="s">
        <v>31</v>
      </c>
      <c r="E15" s="45" t="s">
        <v>246</v>
      </c>
      <c r="F15" s="45" t="s">
        <v>248</v>
      </c>
      <c r="G15" s="45">
        <v>4</v>
      </c>
      <c r="H15" s="45" t="s">
        <v>1801</v>
      </c>
      <c r="I15" s="45" t="s">
        <v>130</v>
      </c>
      <c r="J15" s="45" t="s">
        <v>1800</v>
      </c>
    </row>
    <row r="16" spans="1:10">
      <c r="A16" s="45">
        <v>11</v>
      </c>
      <c r="B16" s="45" t="s">
        <v>271</v>
      </c>
      <c r="C16" s="45" t="s">
        <v>1798</v>
      </c>
      <c r="D16" s="45" t="s">
        <v>31</v>
      </c>
      <c r="E16" s="45" t="s">
        <v>272</v>
      </c>
      <c r="F16" s="45" t="s">
        <v>273</v>
      </c>
      <c r="G16" s="45">
        <v>4</v>
      </c>
      <c r="H16" s="45" t="s">
        <v>1801</v>
      </c>
      <c r="I16" s="45" t="s">
        <v>130</v>
      </c>
      <c r="J16" s="45" t="s">
        <v>1800</v>
      </c>
    </row>
    <row r="17" spans="1:10">
      <c r="A17" s="45">
        <v>12</v>
      </c>
      <c r="B17" s="45" t="s">
        <v>410</v>
      </c>
      <c r="C17" s="45" t="s">
        <v>1798</v>
      </c>
      <c r="D17" s="45" t="s">
        <v>32</v>
      </c>
      <c r="E17" s="45" t="s">
        <v>411</v>
      </c>
      <c r="F17" s="45" t="s">
        <v>221</v>
      </c>
      <c r="G17" s="45">
        <v>4</v>
      </c>
      <c r="H17" s="45" t="s">
        <v>1801</v>
      </c>
      <c r="I17" s="45" t="s">
        <v>130</v>
      </c>
      <c r="J17" s="45" t="s">
        <v>1800</v>
      </c>
    </row>
    <row r="18" spans="1:10">
      <c r="A18" s="45">
        <v>13</v>
      </c>
      <c r="B18" s="45" t="s">
        <v>422</v>
      </c>
      <c r="C18" s="45" t="s">
        <v>1798</v>
      </c>
      <c r="D18" s="45" t="s">
        <v>32</v>
      </c>
      <c r="E18" s="45" t="s">
        <v>423</v>
      </c>
      <c r="F18" s="45" t="s">
        <v>221</v>
      </c>
      <c r="G18" s="45">
        <v>4</v>
      </c>
      <c r="H18" s="45" t="s">
        <v>1801</v>
      </c>
      <c r="I18" s="45" t="s">
        <v>130</v>
      </c>
      <c r="J18" s="45" t="s">
        <v>1800</v>
      </c>
    </row>
    <row r="19" spans="1:10">
      <c r="A19" s="45">
        <v>14</v>
      </c>
      <c r="B19" s="45" t="s">
        <v>433</v>
      </c>
      <c r="C19" s="45" t="s">
        <v>1798</v>
      </c>
      <c r="D19" s="45" t="s">
        <v>32</v>
      </c>
      <c r="E19" s="45" t="s">
        <v>434</v>
      </c>
      <c r="F19" s="45" t="s">
        <v>237</v>
      </c>
      <c r="G19" s="45">
        <v>4</v>
      </c>
      <c r="H19" s="45" t="s">
        <v>1801</v>
      </c>
      <c r="I19" s="45" t="s">
        <v>165</v>
      </c>
      <c r="J19" s="45" t="s">
        <v>1800</v>
      </c>
    </row>
    <row r="20" spans="1:10">
      <c r="A20" s="45">
        <v>15</v>
      </c>
      <c r="B20" s="45" t="s">
        <v>445</v>
      </c>
      <c r="C20" s="45" t="s">
        <v>1798</v>
      </c>
      <c r="D20" s="45" t="s">
        <v>32</v>
      </c>
      <c r="E20" s="45" t="s">
        <v>446</v>
      </c>
      <c r="F20" s="45" t="s">
        <v>248</v>
      </c>
      <c r="G20" s="45">
        <v>4</v>
      </c>
      <c r="H20" s="45" t="s">
        <v>1801</v>
      </c>
      <c r="I20" s="45" t="s">
        <v>130</v>
      </c>
      <c r="J20" s="45" t="s">
        <v>1800</v>
      </c>
    </row>
    <row r="21" spans="1:10">
      <c r="A21" s="45">
        <v>16</v>
      </c>
      <c r="B21" s="45" t="s">
        <v>457</v>
      </c>
      <c r="C21" s="45" t="s">
        <v>1798</v>
      </c>
      <c r="D21" s="45" t="s">
        <v>32</v>
      </c>
      <c r="E21" s="45" t="s">
        <v>458</v>
      </c>
      <c r="F21" s="45" t="s">
        <v>221</v>
      </c>
      <c r="G21" s="45">
        <v>4</v>
      </c>
      <c r="H21" s="45" t="s">
        <v>1801</v>
      </c>
      <c r="I21" s="45" t="s">
        <v>130</v>
      </c>
      <c r="J21" s="45" t="s">
        <v>1800</v>
      </c>
    </row>
    <row r="22" spans="1:10">
      <c r="A22" s="45">
        <v>17</v>
      </c>
      <c r="B22" s="45" t="s">
        <v>503</v>
      </c>
      <c r="C22" s="45" t="s">
        <v>1798</v>
      </c>
      <c r="D22" s="45" t="s">
        <v>32</v>
      </c>
      <c r="E22" s="45" t="s">
        <v>504</v>
      </c>
      <c r="F22" s="45" t="s">
        <v>221</v>
      </c>
      <c r="G22" s="45">
        <v>4</v>
      </c>
      <c r="H22" s="45" t="s">
        <v>1801</v>
      </c>
      <c r="I22" s="45" t="s">
        <v>130</v>
      </c>
      <c r="J22" s="45" t="s">
        <v>1800</v>
      </c>
    </row>
    <row r="23" spans="1:10">
      <c r="A23" s="45">
        <v>18</v>
      </c>
      <c r="B23" s="45" t="s">
        <v>579</v>
      </c>
      <c r="C23" s="45" t="s">
        <v>1798</v>
      </c>
      <c r="D23" s="45" t="s">
        <v>33</v>
      </c>
      <c r="E23" s="45" t="s">
        <v>580</v>
      </c>
      <c r="F23" s="45" t="s">
        <v>273</v>
      </c>
      <c r="G23" s="45">
        <v>4</v>
      </c>
      <c r="H23" s="45" t="s">
        <v>1801</v>
      </c>
      <c r="I23" s="45" t="s">
        <v>130</v>
      </c>
      <c r="J23" s="45" t="s">
        <v>1800</v>
      </c>
    </row>
    <row r="24" spans="1:10">
      <c r="A24" s="45">
        <v>19</v>
      </c>
      <c r="B24" s="45" t="s">
        <v>604</v>
      </c>
      <c r="C24" s="45" t="s">
        <v>1798</v>
      </c>
      <c r="D24" s="45" t="s">
        <v>33</v>
      </c>
      <c r="E24" s="45" t="s">
        <v>605</v>
      </c>
      <c r="F24" s="45" t="s">
        <v>221</v>
      </c>
      <c r="G24" s="45">
        <v>4</v>
      </c>
      <c r="H24" s="45" t="s">
        <v>1801</v>
      </c>
      <c r="I24" s="45" t="s">
        <v>130</v>
      </c>
      <c r="J24" s="45" t="s">
        <v>1800</v>
      </c>
    </row>
    <row r="25" spans="1:10">
      <c r="A25" s="45">
        <v>20</v>
      </c>
      <c r="B25" s="45" t="s">
        <v>617</v>
      </c>
      <c r="C25" s="45" t="s">
        <v>1798</v>
      </c>
      <c r="D25" s="45" t="s">
        <v>33</v>
      </c>
      <c r="E25" s="45" t="s">
        <v>618</v>
      </c>
      <c r="F25" s="45" t="s">
        <v>221</v>
      </c>
      <c r="G25" s="45">
        <v>4</v>
      </c>
      <c r="H25" s="45" t="s">
        <v>1801</v>
      </c>
      <c r="I25" s="45" t="s">
        <v>130</v>
      </c>
      <c r="J25" s="45" t="s">
        <v>1800</v>
      </c>
    </row>
    <row r="26" spans="1:10">
      <c r="A26" s="45">
        <v>21</v>
      </c>
      <c r="B26" s="45" t="s">
        <v>778</v>
      </c>
      <c r="C26" s="45" t="s">
        <v>1798</v>
      </c>
      <c r="D26" s="45" t="s">
        <v>34</v>
      </c>
      <c r="E26" s="45" t="s">
        <v>779</v>
      </c>
      <c r="F26" s="45" t="s">
        <v>309</v>
      </c>
      <c r="G26" s="45">
        <v>4</v>
      </c>
      <c r="H26" s="45" t="s">
        <v>1801</v>
      </c>
      <c r="I26" s="45" t="s">
        <v>165</v>
      </c>
      <c r="J26" s="45" t="s">
        <v>1800</v>
      </c>
    </row>
    <row r="27" spans="1:10">
      <c r="A27" s="45">
        <v>22</v>
      </c>
      <c r="B27" s="45" t="s">
        <v>819</v>
      </c>
      <c r="C27" s="45" t="s">
        <v>1798</v>
      </c>
      <c r="D27" s="45" t="s">
        <v>34</v>
      </c>
      <c r="E27" s="45" t="s">
        <v>820</v>
      </c>
      <c r="F27" s="45" t="s">
        <v>248</v>
      </c>
      <c r="G27" s="45">
        <v>5</v>
      </c>
      <c r="H27" s="45" t="s">
        <v>1801</v>
      </c>
      <c r="I27" s="45" t="s">
        <v>165</v>
      </c>
      <c r="J27" s="45" t="s">
        <v>1800</v>
      </c>
    </row>
    <row r="28" spans="1:10">
      <c r="A28" s="45">
        <v>23</v>
      </c>
      <c r="B28" s="45" t="s">
        <v>907</v>
      </c>
      <c r="C28" s="45" t="s">
        <v>1798</v>
      </c>
      <c r="D28" s="45" t="s">
        <v>35</v>
      </c>
      <c r="E28" s="45" t="s">
        <v>908</v>
      </c>
      <c r="F28" s="45" t="s">
        <v>910</v>
      </c>
      <c r="G28" s="45">
        <v>4</v>
      </c>
      <c r="H28" s="45" t="s">
        <v>1801</v>
      </c>
      <c r="I28" s="45" t="s">
        <v>130</v>
      </c>
      <c r="J28" s="45" t="s">
        <v>1800</v>
      </c>
    </row>
    <row r="29" spans="1:10">
      <c r="A29" s="45">
        <v>24</v>
      </c>
      <c r="B29" s="45" t="s">
        <v>920</v>
      </c>
      <c r="C29" s="45" t="s">
        <v>1798</v>
      </c>
      <c r="D29" s="45" t="s">
        <v>35</v>
      </c>
      <c r="E29" s="45" t="s">
        <v>921</v>
      </c>
      <c r="F29" s="45" t="s">
        <v>910</v>
      </c>
      <c r="G29" s="45">
        <v>4</v>
      </c>
      <c r="H29" s="45" t="s">
        <v>1801</v>
      </c>
      <c r="I29" s="45" t="s">
        <v>130</v>
      </c>
      <c r="J29" s="45" t="s">
        <v>1800</v>
      </c>
    </row>
    <row r="30" spans="1:10">
      <c r="A30" s="45">
        <v>25</v>
      </c>
      <c r="B30" s="45" t="s">
        <v>931</v>
      </c>
      <c r="C30" s="45" t="s">
        <v>1798</v>
      </c>
      <c r="D30" s="45" t="s">
        <v>35</v>
      </c>
      <c r="E30" s="45" t="s">
        <v>932</v>
      </c>
      <c r="F30" s="45" t="s">
        <v>237</v>
      </c>
      <c r="G30" s="45">
        <v>4</v>
      </c>
      <c r="H30" s="45" t="s">
        <v>1801</v>
      </c>
      <c r="I30" s="45" t="s">
        <v>165</v>
      </c>
      <c r="J30" s="45" t="s">
        <v>1800</v>
      </c>
    </row>
    <row r="31" spans="1:10">
      <c r="A31" s="45">
        <v>26</v>
      </c>
      <c r="B31" s="45" t="s">
        <v>955</v>
      </c>
      <c r="C31" s="45" t="s">
        <v>1798</v>
      </c>
      <c r="D31" s="45" t="s">
        <v>35</v>
      </c>
      <c r="E31" s="45" t="s">
        <v>956</v>
      </c>
      <c r="F31" s="45" t="s">
        <v>910</v>
      </c>
      <c r="G31" s="45">
        <v>4</v>
      </c>
      <c r="H31" s="45" t="s">
        <v>1801</v>
      </c>
      <c r="I31" s="45" t="s">
        <v>130</v>
      </c>
      <c r="J31" s="45" t="s">
        <v>1800</v>
      </c>
    </row>
    <row r="32" spans="1:10">
      <c r="A32" s="45">
        <v>27</v>
      </c>
      <c r="B32" s="45" t="s">
        <v>1051</v>
      </c>
      <c r="C32" s="45" t="s">
        <v>1798</v>
      </c>
      <c r="D32" s="45" t="s">
        <v>36</v>
      </c>
      <c r="E32" s="45" t="s">
        <v>1052</v>
      </c>
      <c r="F32" s="45" t="s">
        <v>237</v>
      </c>
      <c r="G32" s="45">
        <v>4</v>
      </c>
      <c r="H32" s="45" t="s">
        <v>1801</v>
      </c>
      <c r="I32" s="45" t="s">
        <v>165</v>
      </c>
      <c r="J32" s="45" t="s">
        <v>1800</v>
      </c>
    </row>
    <row r="33" spans="1:10">
      <c r="A33" s="45">
        <v>28</v>
      </c>
      <c r="B33" s="45" t="s">
        <v>1150</v>
      </c>
      <c r="C33" s="45" t="s">
        <v>1798</v>
      </c>
      <c r="D33" s="45" t="s">
        <v>37</v>
      </c>
      <c r="E33" s="45" t="s">
        <v>1151</v>
      </c>
      <c r="F33" s="45" t="s">
        <v>237</v>
      </c>
      <c r="G33" s="45">
        <v>4</v>
      </c>
      <c r="H33" s="45" t="s">
        <v>1801</v>
      </c>
      <c r="I33" s="45" t="s">
        <v>130</v>
      </c>
      <c r="J33" s="45" t="s">
        <v>1800</v>
      </c>
    </row>
    <row r="34" spans="1:10">
      <c r="A34" s="45">
        <v>29</v>
      </c>
      <c r="B34" s="45" t="s">
        <v>364</v>
      </c>
      <c r="C34" s="45" t="s">
        <v>1802</v>
      </c>
      <c r="D34" s="45" t="s">
        <v>31</v>
      </c>
      <c r="E34" s="45" t="s">
        <v>365</v>
      </c>
      <c r="F34" s="45" t="s">
        <v>366</v>
      </c>
      <c r="G34" s="45">
        <v>2</v>
      </c>
      <c r="H34" s="45" t="s">
        <v>1801</v>
      </c>
      <c r="I34" s="45" t="s">
        <v>130</v>
      </c>
      <c r="J34" s="45" t="s">
        <v>1803</v>
      </c>
    </row>
    <row r="35" spans="1:10">
      <c r="A35" s="45">
        <v>30</v>
      </c>
      <c r="B35" s="45" t="s">
        <v>375</v>
      </c>
      <c r="C35" s="45" t="s">
        <v>1802</v>
      </c>
      <c r="D35" s="45" t="s">
        <v>31</v>
      </c>
      <c r="E35" s="45" t="s">
        <v>376</v>
      </c>
      <c r="F35" s="45" t="s">
        <v>366</v>
      </c>
      <c r="G35" s="45">
        <v>2</v>
      </c>
      <c r="H35" s="45" t="s">
        <v>1801</v>
      </c>
      <c r="I35" s="45" t="s">
        <v>130</v>
      </c>
      <c r="J35" s="45" t="s">
        <v>1803</v>
      </c>
    </row>
    <row r="36" spans="1:10">
      <c r="A36" s="45">
        <v>31</v>
      </c>
      <c r="B36" s="45" t="s">
        <v>387</v>
      </c>
      <c r="C36" s="45" t="s">
        <v>1802</v>
      </c>
      <c r="D36" s="45" t="s">
        <v>31</v>
      </c>
      <c r="E36" s="45" t="s">
        <v>388</v>
      </c>
      <c r="F36" s="45" t="s">
        <v>389</v>
      </c>
      <c r="G36" s="45">
        <v>2</v>
      </c>
      <c r="H36" s="45" t="s">
        <v>1801</v>
      </c>
      <c r="I36" s="45" t="s">
        <v>165</v>
      </c>
      <c r="J36" s="45" t="s">
        <v>1803</v>
      </c>
    </row>
    <row r="37" spans="1:10">
      <c r="A37" s="45">
        <v>32</v>
      </c>
      <c r="B37" s="45" t="s">
        <v>492</v>
      </c>
      <c r="C37" s="45" t="s">
        <v>1802</v>
      </c>
      <c r="D37" s="45" t="s">
        <v>32</v>
      </c>
      <c r="E37" s="45" t="s">
        <v>493</v>
      </c>
      <c r="F37" s="45" t="s">
        <v>389</v>
      </c>
      <c r="G37" s="45">
        <v>2</v>
      </c>
      <c r="H37" s="45" t="s">
        <v>1801</v>
      </c>
      <c r="I37" s="45" t="s">
        <v>130</v>
      </c>
      <c r="J37" s="45" t="s">
        <v>1803</v>
      </c>
    </row>
    <row r="38" spans="1:10">
      <c r="A38" s="45">
        <v>33</v>
      </c>
      <c r="B38" s="45" t="s">
        <v>525</v>
      </c>
      <c r="C38" s="45" t="s">
        <v>1802</v>
      </c>
      <c r="D38" s="45" t="s">
        <v>32</v>
      </c>
      <c r="E38" s="45" t="s">
        <v>526</v>
      </c>
      <c r="F38" s="45" t="s">
        <v>366</v>
      </c>
      <c r="G38" s="45">
        <v>4</v>
      </c>
      <c r="H38" s="45" t="s">
        <v>1801</v>
      </c>
      <c r="I38" s="45" t="s">
        <v>130</v>
      </c>
      <c r="J38" s="45" t="s">
        <v>1803</v>
      </c>
    </row>
    <row r="39" spans="1:10">
      <c r="A39" s="45">
        <v>34</v>
      </c>
      <c r="B39" s="45" t="s">
        <v>546</v>
      </c>
      <c r="C39" s="45" t="s">
        <v>1802</v>
      </c>
      <c r="D39" s="45" t="s">
        <v>32</v>
      </c>
      <c r="E39" s="45" t="s">
        <v>547</v>
      </c>
      <c r="F39" s="45" t="s">
        <v>366</v>
      </c>
      <c r="G39" s="45">
        <v>2</v>
      </c>
      <c r="H39" s="45" t="s">
        <v>1801</v>
      </c>
      <c r="I39" s="45" t="s">
        <v>556</v>
      </c>
      <c r="J39" s="45" t="s">
        <v>1803</v>
      </c>
    </row>
    <row r="40" spans="1:10">
      <c r="A40" s="45">
        <v>35</v>
      </c>
      <c r="B40" s="45" t="s">
        <v>735</v>
      </c>
      <c r="C40" s="45" t="s">
        <v>1802</v>
      </c>
      <c r="D40" s="45" t="s">
        <v>33</v>
      </c>
      <c r="E40" s="45" t="s">
        <v>736</v>
      </c>
      <c r="F40" s="45" t="s">
        <v>366</v>
      </c>
      <c r="G40" s="45">
        <v>2</v>
      </c>
      <c r="H40" s="45" t="s">
        <v>1801</v>
      </c>
      <c r="I40" s="45" t="s">
        <v>130</v>
      </c>
      <c r="J40" s="45" t="s">
        <v>1803</v>
      </c>
    </row>
    <row r="41" spans="1:10">
      <c r="A41" s="45">
        <v>36</v>
      </c>
      <c r="B41" s="45" t="s">
        <v>830</v>
      </c>
      <c r="C41" s="45" t="s">
        <v>1802</v>
      </c>
      <c r="D41" s="45" t="s">
        <v>34</v>
      </c>
      <c r="E41" s="45" t="s">
        <v>831</v>
      </c>
      <c r="F41" s="45" t="s">
        <v>366</v>
      </c>
      <c r="G41" s="45">
        <v>4</v>
      </c>
      <c r="H41" s="45" t="s">
        <v>1801</v>
      </c>
      <c r="I41" s="45" t="s">
        <v>130</v>
      </c>
      <c r="J41" s="45" t="s">
        <v>1803</v>
      </c>
    </row>
    <row r="42" spans="1:10">
      <c r="A42" s="45">
        <v>37</v>
      </c>
      <c r="B42" s="45" t="s">
        <v>875</v>
      </c>
      <c r="C42" s="45" t="s">
        <v>1802</v>
      </c>
      <c r="D42" s="45" t="s">
        <v>34</v>
      </c>
      <c r="E42" s="45" t="s">
        <v>876</v>
      </c>
      <c r="F42" s="45" t="s">
        <v>389</v>
      </c>
      <c r="G42" s="45">
        <v>2</v>
      </c>
      <c r="H42" s="45" t="s">
        <v>1801</v>
      </c>
      <c r="I42" s="45" t="s">
        <v>130</v>
      </c>
      <c r="J42" s="45" t="s">
        <v>1803</v>
      </c>
    </row>
    <row r="43" spans="1:10">
      <c r="A43" s="45">
        <v>38</v>
      </c>
      <c r="B43" s="45" t="s">
        <v>1031</v>
      </c>
      <c r="C43" s="45" t="s">
        <v>1802</v>
      </c>
      <c r="D43" s="45" t="s">
        <v>35</v>
      </c>
      <c r="E43" s="45" t="s">
        <v>1032</v>
      </c>
      <c r="F43" s="45" t="s">
        <v>389</v>
      </c>
      <c r="G43" s="45">
        <v>1</v>
      </c>
      <c r="H43" s="45" t="s">
        <v>1801</v>
      </c>
      <c r="I43" s="45" t="s">
        <v>165</v>
      </c>
      <c r="J43" s="45" t="s">
        <v>1803</v>
      </c>
    </row>
    <row r="44" spans="1:10">
      <c r="A44" s="45">
        <v>39</v>
      </c>
      <c r="B44" s="45" t="s">
        <v>1117</v>
      </c>
      <c r="C44" s="45" t="s">
        <v>1802</v>
      </c>
      <c r="D44" s="45" t="s">
        <v>36</v>
      </c>
      <c r="E44" s="45" t="s">
        <v>1118</v>
      </c>
      <c r="F44" s="45" t="s">
        <v>366</v>
      </c>
      <c r="G44" s="45">
        <v>2</v>
      </c>
      <c r="H44" s="45" t="s">
        <v>1801</v>
      </c>
      <c r="I44" s="45" t="s">
        <v>165</v>
      </c>
      <c r="J44" s="45" t="s">
        <v>1803</v>
      </c>
    </row>
    <row r="45" spans="1:10">
      <c r="A45" s="45">
        <v>40</v>
      </c>
      <c r="B45" s="45" t="s">
        <v>1129</v>
      </c>
      <c r="C45" s="45" t="s">
        <v>1802</v>
      </c>
      <c r="D45" s="45" t="s">
        <v>36</v>
      </c>
      <c r="E45" s="45" t="s">
        <v>1130</v>
      </c>
      <c r="F45" s="45" t="s">
        <v>366</v>
      </c>
      <c r="G45" s="45">
        <v>2</v>
      </c>
      <c r="H45" s="45" t="s">
        <v>1801</v>
      </c>
      <c r="I45" s="45" t="s">
        <v>165</v>
      </c>
      <c r="J45" s="45" t="s">
        <v>1803</v>
      </c>
    </row>
    <row r="46" spans="1:10">
      <c r="A46" s="45">
        <v>41</v>
      </c>
      <c r="B46" s="45" t="s">
        <v>1163</v>
      </c>
      <c r="C46" s="45" t="s">
        <v>1802</v>
      </c>
      <c r="D46" s="45" t="s">
        <v>37</v>
      </c>
      <c r="E46" s="45" t="s">
        <v>1164</v>
      </c>
      <c r="F46" s="45" t="s">
        <v>389</v>
      </c>
      <c r="G46" s="45">
        <v>4</v>
      </c>
      <c r="H46" s="45" t="s">
        <v>1801</v>
      </c>
      <c r="I46" s="45" t="s">
        <v>130</v>
      </c>
      <c r="J46" s="45" t="s">
        <v>1803</v>
      </c>
    </row>
    <row r="47" spans="1:10">
      <c r="A47" s="47">
        <v>42</v>
      </c>
      <c r="B47" s="47" t="s">
        <v>1282</v>
      </c>
      <c r="C47" s="47" t="s">
        <v>1802</v>
      </c>
      <c r="D47" s="47" t="s">
        <v>37</v>
      </c>
      <c r="E47" s="47" t="s">
        <v>1283</v>
      </c>
      <c r="F47" s="47" t="s">
        <v>389</v>
      </c>
      <c r="G47" s="47">
        <v>2</v>
      </c>
      <c r="H47" s="47" t="s">
        <v>1801</v>
      </c>
      <c r="I47" s="47" t="s">
        <v>556</v>
      </c>
      <c r="J47" s="47" t="s">
        <v>1803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7"/>
  <sheetViews>
    <sheetView showGridLines="0" workbookViewId="0">
      <selection sqref="A1:S1"/>
    </sheetView>
  </sheetViews>
  <sheetFormatPr baseColWidth="10" defaultColWidth="8.83203125" defaultRowHeight="15"/>
  <cols>
    <col min="1" max="1" width="12" customWidth="1"/>
    <col min="2" max="2" width="14" customWidth="1"/>
    <col min="3" max="3" width="24" customWidth="1"/>
    <col min="4" max="4" width="10" customWidth="1"/>
    <col min="5" max="5" width="12" customWidth="1"/>
    <col min="6" max="7" width="14" customWidth="1"/>
    <col min="8" max="10" width="16" customWidth="1"/>
    <col min="11" max="11" width="18" customWidth="1"/>
  </cols>
  <sheetData>
    <row r="1" spans="1:19" ht="34" customHeight="1">
      <c r="A1" s="6" t="s">
        <v>1804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0" customHeight="1">
      <c r="A2" s="5" t="s">
        <v>1805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26" customHeight="1">
      <c r="A3" s="4" t="s">
        <v>1806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5" spans="1:19" ht="32" customHeight="1">
      <c r="A5" s="40" t="s">
        <v>91</v>
      </c>
      <c r="B5" s="41" t="s">
        <v>1807</v>
      </c>
      <c r="C5" s="41" t="s">
        <v>24</v>
      </c>
      <c r="D5" s="41" t="s">
        <v>1808</v>
      </c>
      <c r="E5" s="41" t="s">
        <v>1809</v>
      </c>
      <c r="F5" s="41" t="s">
        <v>1810</v>
      </c>
      <c r="G5" s="41" t="s">
        <v>1709</v>
      </c>
      <c r="H5" s="41" t="s">
        <v>1811</v>
      </c>
      <c r="I5" s="41" t="s">
        <v>1812</v>
      </c>
      <c r="J5" s="41" t="s">
        <v>1813</v>
      </c>
      <c r="K5" s="42" t="s">
        <v>1814</v>
      </c>
      <c r="L5" s="52" t="s">
        <v>24</v>
      </c>
      <c r="M5" s="52" t="s">
        <v>1815</v>
      </c>
      <c r="N5" s="52" t="s">
        <v>1816</v>
      </c>
      <c r="O5" s="52" t="s">
        <v>1813</v>
      </c>
      <c r="P5" s="52" t="s">
        <v>1812</v>
      </c>
      <c r="Q5" s="52" t="s">
        <v>1817</v>
      </c>
      <c r="R5" s="52" t="s">
        <v>1766</v>
      </c>
      <c r="S5" s="52" t="s">
        <v>1709</v>
      </c>
    </row>
    <row r="6" spans="1:19">
      <c r="A6" s="43" t="s">
        <v>113</v>
      </c>
      <c r="B6" s="43" t="s">
        <v>1798</v>
      </c>
      <c r="C6" s="43" t="s">
        <v>30</v>
      </c>
      <c r="D6" s="43">
        <v>0</v>
      </c>
      <c r="E6" s="43" t="s">
        <v>1697</v>
      </c>
      <c r="F6" s="43">
        <f t="shared" ref="F6:F47" si="0">IF(E6="PASS",1,IF(E6="WARN",0.5,IF(E6="FAIL",0,"")))</f>
        <v>1</v>
      </c>
      <c r="G6" s="43" t="s">
        <v>1712</v>
      </c>
      <c r="H6" s="43">
        <f t="shared" ref="H6:H47" si="1">IF(G6="HIGH",1,IF(G6="MEDIUM",0.7,0.4))</f>
        <v>1</v>
      </c>
      <c r="I6" s="43">
        <f t="shared" ref="I6:I47" si="2">IF(D6=0,0,D6*F6)</f>
        <v>0</v>
      </c>
      <c r="J6" s="43">
        <f t="shared" ref="J6:J47" si="3">IF(OR(E6="PASS",E6="WARN",E6="FAIL"),D6,0)</f>
        <v>0</v>
      </c>
      <c r="K6" s="43">
        <f t="shared" ref="K6:K47" si="4">J6*H6</f>
        <v>0</v>
      </c>
      <c r="L6" t="s">
        <v>31</v>
      </c>
      <c r="M6">
        <v>18</v>
      </c>
      <c r="N6">
        <v>22</v>
      </c>
      <c r="O6">
        <f t="shared" ref="O6:O12" si="5">SUMIF($C$6:$C$47,L6,$J$6:$J$47)</f>
        <v>22</v>
      </c>
      <c r="P6">
        <f t="shared" ref="P6:P12" si="6">SUMIF($C$6:$C$47,L6,$I$6:$I$47)</f>
        <v>18</v>
      </c>
      <c r="Q6" s="54">
        <f t="shared" ref="Q6:Q12" si="7">IF(O6=0,"",100*P6/O6)</f>
        <v>81.818181818181813</v>
      </c>
      <c r="R6" s="55">
        <f t="shared" ref="R6:R12" si="8">IF(N6=0,1,O6/N6)</f>
        <v>1</v>
      </c>
      <c r="S6" s="55">
        <f t="shared" ref="S6:S12" si="9">IF(O6=0,0,SUMIF($C$6:$C$47,L6,$K$6:$K$47)/O6)</f>
        <v>1</v>
      </c>
    </row>
    <row r="7" spans="1:19">
      <c r="A7" s="45" t="s">
        <v>133</v>
      </c>
      <c r="B7" s="45" t="s">
        <v>1798</v>
      </c>
      <c r="C7" s="45" t="s">
        <v>30</v>
      </c>
      <c r="D7" s="45">
        <v>0</v>
      </c>
      <c r="E7" s="45" t="s">
        <v>1697</v>
      </c>
      <c r="F7" s="45">
        <f t="shared" si="0"/>
        <v>1</v>
      </c>
      <c r="G7" s="45" t="s">
        <v>1712</v>
      </c>
      <c r="H7" s="45">
        <f t="shared" si="1"/>
        <v>1</v>
      </c>
      <c r="I7" s="45">
        <f t="shared" si="2"/>
        <v>0</v>
      </c>
      <c r="J7" s="45">
        <f t="shared" si="3"/>
        <v>0</v>
      </c>
      <c r="K7" s="45">
        <f t="shared" si="4"/>
        <v>0</v>
      </c>
      <c r="L7" t="s">
        <v>32</v>
      </c>
      <c r="M7">
        <v>18</v>
      </c>
      <c r="N7">
        <v>32</v>
      </c>
      <c r="O7">
        <f t="shared" si="5"/>
        <v>32</v>
      </c>
      <c r="P7">
        <f t="shared" si="6"/>
        <v>26</v>
      </c>
      <c r="Q7" s="54">
        <f t="shared" si="7"/>
        <v>81.25</v>
      </c>
      <c r="R7" s="55">
        <f t="shared" si="8"/>
        <v>1</v>
      </c>
      <c r="S7" s="55">
        <f t="shared" si="9"/>
        <v>1</v>
      </c>
    </row>
    <row r="8" spans="1:19">
      <c r="A8" s="45" t="s">
        <v>142</v>
      </c>
      <c r="B8" s="45" t="s">
        <v>1798</v>
      </c>
      <c r="C8" s="45" t="s">
        <v>30</v>
      </c>
      <c r="D8" s="45">
        <v>0</v>
      </c>
      <c r="E8" s="45" t="s">
        <v>1697</v>
      </c>
      <c r="F8" s="45">
        <f t="shared" si="0"/>
        <v>1</v>
      </c>
      <c r="G8" s="45" t="s">
        <v>1712</v>
      </c>
      <c r="H8" s="45">
        <f t="shared" si="1"/>
        <v>1</v>
      </c>
      <c r="I8" s="45">
        <f t="shared" si="2"/>
        <v>0</v>
      </c>
      <c r="J8" s="45">
        <f t="shared" si="3"/>
        <v>0</v>
      </c>
      <c r="K8" s="45">
        <f t="shared" si="4"/>
        <v>0</v>
      </c>
      <c r="L8" t="s">
        <v>33</v>
      </c>
      <c r="M8">
        <v>14</v>
      </c>
      <c r="N8">
        <v>14</v>
      </c>
      <c r="O8">
        <f t="shared" si="5"/>
        <v>14</v>
      </c>
      <c r="P8">
        <f t="shared" si="6"/>
        <v>14</v>
      </c>
      <c r="Q8" s="54">
        <f t="shared" si="7"/>
        <v>100</v>
      </c>
      <c r="R8" s="55">
        <f t="shared" si="8"/>
        <v>1</v>
      </c>
      <c r="S8" s="55">
        <f t="shared" si="9"/>
        <v>1</v>
      </c>
    </row>
    <row r="9" spans="1:19">
      <c r="A9" s="45" t="s">
        <v>155</v>
      </c>
      <c r="B9" s="45" t="s">
        <v>1798</v>
      </c>
      <c r="C9" s="45" t="s">
        <v>30</v>
      </c>
      <c r="D9" s="45">
        <v>0</v>
      </c>
      <c r="E9" s="45" t="s">
        <v>1697</v>
      </c>
      <c r="F9" s="45">
        <f t="shared" si="0"/>
        <v>1</v>
      </c>
      <c r="G9" s="45" t="s">
        <v>1712</v>
      </c>
      <c r="H9" s="45">
        <f t="shared" si="1"/>
        <v>1</v>
      </c>
      <c r="I9" s="45">
        <f t="shared" si="2"/>
        <v>0</v>
      </c>
      <c r="J9" s="45">
        <f t="shared" si="3"/>
        <v>0</v>
      </c>
      <c r="K9" s="45">
        <f t="shared" si="4"/>
        <v>0</v>
      </c>
      <c r="L9" t="s">
        <v>34</v>
      </c>
      <c r="M9">
        <v>12</v>
      </c>
      <c r="N9">
        <v>15</v>
      </c>
      <c r="O9">
        <f t="shared" si="5"/>
        <v>15</v>
      </c>
      <c r="P9">
        <f t="shared" si="6"/>
        <v>13</v>
      </c>
      <c r="Q9" s="54">
        <f t="shared" si="7"/>
        <v>86.666666666666671</v>
      </c>
      <c r="R9" s="55">
        <f t="shared" si="8"/>
        <v>1</v>
      </c>
      <c r="S9" s="55">
        <f t="shared" si="9"/>
        <v>1</v>
      </c>
    </row>
    <row r="10" spans="1:19">
      <c r="A10" s="45" t="s">
        <v>166</v>
      </c>
      <c r="B10" s="45" t="s">
        <v>1798</v>
      </c>
      <c r="C10" s="45" t="s">
        <v>30</v>
      </c>
      <c r="D10" s="45">
        <v>0</v>
      </c>
      <c r="E10" s="45" t="s">
        <v>1697</v>
      </c>
      <c r="F10" s="45">
        <f t="shared" si="0"/>
        <v>1</v>
      </c>
      <c r="G10" s="45" t="s">
        <v>1712</v>
      </c>
      <c r="H10" s="45">
        <f t="shared" si="1"/>
        <v>1</v>
      </c>
      <c r="I10" s="45">
        <f t="shared" si="2"/>
        <v>0</v>
      </c>
      <c r="J10" s="45">
        <f t="shared" si="3"/>
        <v>0</v>
      </c>
      <c r="K10" s="45">
        <f t="shared" si="4"/>
        <v>0</v>
      </c>
      <c r="L10" t="s">
        <v>35</v>
      </c>
      <c r="M10">
        <v>18</v>
      </c>
      <c r="N10">
        <v>17</v>
      </c>
      <c r="O10">
        <f t="shared" si="5"/>
        <v>17</v>
      </c>
      <c r="P10">
        <f t="shared" si="6"/>
        <v>13</v>
      </c>
      <c r="Q10" s="54">
        <f t="shared" si="7"/>
        <v>76.470588235294116</v>
      </c>
      <c r="R10" s="55">
        <f t="shared" si="8"/>
        <v>1</v>
      </c>
      <c r="S10" s="55">
        <f t="shared" si="9"/>
        <v>1</v>
      </c>
    </row>
    <row r="11" spans="1:19">
      <c r="A11" s="45" t="s">
        <v>180</v>
      </c>
      <c r="B11" s="45" t="s">
        <v>1798</v>
      </c>
      <c r="C11" s="45" t="s">
        <v>30</v>
      </c>
      <c r="D11" s="45">
        <v>0</v>
      </c>
      <c r="E11" s="45" t="s">
        <v>1697</v>
      </c>
      <c r="F11" s="45">
        <f t="shared" si="0"/>
        <v>1</v>
      </c>
      <c r="G11" s="45" t="s">
        <v>1712</v>
      </c>
      <c r="H11" s="45">
        <f t="shared" si="1"/>
        <v>1</v>
      </c>
      <c r="I11" s="45">
        <f t="shared" si="2"/>
        <v>0</v>
      </c>
      <c r="J11" s="45">
        <f t="shared" si="3"/>
        <v>0</v>
      </c>
      <c r="K11" s="45">
        <f t="shared" si="4"/>
        <v>0</v>
      </c>
      <c r="L11" t="s">
        <v>36</v>
      </c>
      <c r="M11">
        <v>10</v>
      </c>
      <c r="N11">
        <v>8</v>
      </c>
      <c r="O11">
        <f t="shared" si="5"/>
        <v>8</v>
      </c>
      <c r="P11">
        <f t="shared" si="6"/>
        <v>7</v>
      </c>
      <c r="Q11" s="54">
        <f t="shared" si="7"/>
        <v>87.5</v>
      </c>
      <c r="R11" s="55">
        <f t="shared" si="8"/>
        <v>1</v>
      </c>
      <c r="S11" s="55">
        <f t="shared" si="9"/>
        <v>0.92500000000000004</v>
      </c>
    </row>
    <row r="12" spans="1:19">
      <c r="A12" s="45" t="s">
        <v>191</v>
      </c>
      <c r="B12" s="45" t="s">
        <v>1798</v>
      </c>
      <c r="C12" s="45" t="s">
        <v>30</v>
      </c>
      <c r="D12" s="45">
        <v>0</v>
      </c>
      <c r="E12" s="45" t="s">
        <v>1697</v>
      </c>
      <c r="F12" s="45">
        <f t="shared" si="0"/>
        <v>1</v>
      </c>
      <c r="G12" s="45" t="s">
        <v>1712</v>
      </c>
      <c r="H12" s="45">
        <f t="shared" si="1"/>
        <v>1</v>
      </c>
      <c r="I12" s="45">
        <f t="shared" si="2"/>
        <v>0</v>
      </c>
      <c r="J12" s="45">
        <f t="shared" si="3"/>
        <v>0</v>
      </c>
      <c r="K12" s="45">
        <f t="shared" si="4"/>
        <v>0</v>
      </c>
      <c r="L12" t="s">
        <v>37</v>
      </c>
      <c r="M12">
        <v>10</v>
      </c>
      <c r="N12">
        <v>10</v>
      </c>
      <c r="O12">
        <f t="shared" si="5"/>
        <v>10</v>
      </c>
      <c r="P12">
        <f t="shared" si="6"/>
        <v>8</v>
      </c>
      <c r="Q12" s="54">
        <f t="shared" si="7"/>
        <v>80</v>
      </c>
      <c r="R12" s="55">
        <f t="shared" si="8"/>
        <v>1</v>
      </c>
      <c r="S12" s="55">
        <f t="shared" si="9"/>
        <v>1</v>
      </c>
    </row>
    <row r="13" spans="1:19">
      <c r="A13" s="45" t="s">
        <v>217</v>
      </c>
      <c r="B13" s="45" t="s">
        <v>1798</v>
      </c>
      <c r="C13" s="45" t="s">
        <v>31</v>
      </c>
      <c r="D13" s="45">
        <v>4</v>
      </c>
      <c r="E13" s="45" t="s">
        <v>1697</v>
      </c>
      <c r="F13" s="45">
        <f t="shared" si="0"/>
        <v>1</v>
      </c>
      <c r="G13" s="45" t="s">
        <v>1712</v>
      </c>
      <c r="H13" s="45">
        <f t="shared" si="1"/>
        <v>1</v>
      </c>
      <c r="I13" s="45">
        <f t="shared" si="2"/>
        <v>4</v>
      </c>
      <c r="J13" s="45">
        <f t="shared" si="3"/>
        <v>4</v>
      </c>
      <c r="K13" s="45">
        <f t="shared" si="4"/>
        <v>4</v>
      </c>
    </row>
    <row r="14" spans="1:19">
      <c r="A14" s="45" t="s">
        <v>234</v>
      </c>
      <c r="B14" s="45" t="s">
        <v>1798</v>
      </c>
      <c r="C14" s="45" t="s">
        <v>31</v>
      </c>
      <c r="D14" s="45">
        <v>4</v>
      </c>
      <c r="E14" s="45" t="s">
        <v>1697</v>
      </c>
      <c r="F14" s="45">
        <f t="shared" si="0"/>
        <v>1</v>
      </c>
      <c r="G14" s="45" t="s">
        <v>1712</v>
      </c>
      <c r="H14" s="45">
        <f t="shared" si="1"/>
        <v>1</v>
      </c>
      <c r="I14" s="45">
        <f t="shared" si="2"/>
        <v>4</v>
      </c>
      <c r="J14" s="45">
        <f t="shared" si="3"/>
        <v>4</v>
      </c>
      <c r="K14" s="45">
        <f t="shared" si="4"/>
        <v>4</v>
      </c>
    </row>
    <row r="15" spans="1:19">
      <c r="A15" s="45" t="s">
        <v>51</v>
      </c>
      <c r="B15" s="45" t="s">
        <v>1798</v>
      </c>
      <c r="C15" s="45" t="s">
        <v>31</v>
      </c>
      <c r="D15" s="45">
        <v>4</v>
      </c>
      <c r="E15" s="45" t="s">
        <v>1701</v>
      </c>
      <c r="F15" s="45">
        <f t="shared" si="0"/>
        <v>0</v>
      </c>
      <c r="G15" s="45" t="s">
        <v>1712</v>
      </c>
      <c r="H15" s="45">
        <f t="shared" si="1"/>
        <v>1</v>
      </c>
      <c r="I15" s="45">
        <f t="shared" si="2"/>
        <v>0</v>
      </c>
      <c r="J15" s="45">
        <f t="shared" si="3"/>
        <v>4</v>
      </c>
      <c r="K15" s="45">
        <f t="shared" si="4"/>
        <v>4</v>
      </c>
      <c r="L15" s="53" t="s">
        <v>1818</v>
      </c>
      <c r="M15" s="53" t="s">
        <v>1819</v>
      </c>
      <c r="N15" s="53" t="s">
        <v>1684</v>
      </c>
      <c r="O15" s="53" t="s">
        <v>1820</v>
      </c>
      <c r="P15" s="53" t="s">
        <v>1821</v>
      </c>
    </row>
    <row r="16" spans="1:19">
      <c r="A16" s="45" t="s">
        <v>271</v>
      </c>
      <c r="B16" s="45" t="s">
        <v>1798</v>
      </c>
      <c r="C16" s="45" t="s">
        <v>31</v>
      </c>
      <c r="D16" s="45">
        <v>4</v>
      </c>
      <c r="E16" s="45" t="s">
        <v>1697</v>
      </c>
      <c r="F16" s="45">
        <f t="shared" si="0"/>
        <v>1</v>
      </c>
      <c r="G16" s="45" t="s">
        <v>1712</v>
      </c>
      <c r="H16" s="45">
        <f t="shared" si="1"/>
        <v>1</v>
      </c>
      <c r="I16" s="45">
        <f t="shared" si="2"/>
        <v>4</v>
      </c>
      <c r="J16" s="45">
        <f t="shared" si="3"/>
        <v>4</v>
      </c>
      <c r="K16" s="45">
        <f t="shared" si="4"/>
        <v>4</v>
      </c>
      <c r="L16" t="s">
        <v>1822</v>
      </c>
      <c r="M16">
        <f>COUNTIFS($A$6:$A$47,"FD-*",$E$6:$E$47,"FAIL")</f>
        <v>0</v>
      </c>
      <c r="N16" t="s">
        <v>1823</v>
      </c>
      <c r="O16">
        <v>0</v>
      </c>
      <c r="P16" t="s">
        <v>1824</v>
      </c>
    </row>
    <row r="17" spans="1:16">
      <c r="A17" s="45" t="s">
        <v>410</v>
      </c>
      <c r="B17" s="45" t="s">
        <v>1798</v>
      </c>
      <c r="C17" s="45" t="s">
        <v>32</v>
      </c>
      <c r="D17" s="45">
        <v>4</v>
      </c>
      <c r="E17" s="45" t="s">
        <v>1697</v>
      </c>
      <c r="F17" s="45">
        <f t="shared" si="0"/>
        <v>1</v>
      </c>
      <c r="G17" s="45" t="s">
        <v>1712</v>
      </c>
      <c r="H17" s="45">
        <f t="shared" si="1"/>
        <v>1</v>
      </c>
      <c r="I17" s="45">
        <f t="shared" si="2"/>
        <v>4</v>
      </c>
      <c r="J17" s="45">
        <f t="shared" si="3"/>
        <v>4</v>
      </c>
      <c r="K17" s="45">
        <f t="shared" si="4"/>
        <v>4</v>
      </c>
      <c r="L17" t="s">
        <v>1825</v>
      </c>
      <c r="M17" s="54">
        <f>SUMPRODUCT($M$6:$M$12,$Q$6:$Q$12)/SUM($M$6:$M$12)</f>
        <v>84.266978609625653</v>
      </c>
      <c r="N17" t="s">
        <v>1826</v>
      </c>
      <c r="P17" t="s">
        <v>1827</v>
      </c>
    </row>
    <row r="18" spans="1:16">
      <c r="A18" s="45" t="s">
        <v>422</v>
      </c>
      <c r="B18" s="45" t="s">
        <v>1798</v>
      </c>
      <c r="C18" s="45" t="s">
        <v>32</v>
      </c>
      <c r="D18" s="45">
        <v>4</v>
      </c>
      <c r="E18" s="45" t="s">
        <v>1697</v>
      </c>
      <c r="F18" s="45">
        <f t="shared" si="0"/>
        <v>1</v>
      </c>
      <c r="G18" s="45" t="s">
        <v>1712</v>
      </c>
      <c r="H18" s="45">
        <f t="shared" si="1"/>
        <v>1</v>
      </c>
      <c r="I18" s="45">
        <f t="shared" si="2"/>
        <v>4</v>
      </c>
      <c r="J18" s="45">
        <f t="shared" si="3"/>
        <v>4</v>
      </c>
      <c r="K18" s="45">
        <f t="shared" si="4"/>
        <v>4</v>
      </c>
      <c r="L18" t="s">
        <v>1828</v>
      </c>
      <c r="M18" t="str">
        <f>IF(M16&gt;0,"BLOCKED",IF(MIN($R$6:$R$12)&lt;0.8,"INCOMPLETE",IF(M17&gt;=90,"READY",IF(M17&gt;=70,"CONDITIONALLY_READY",IF(M17&gt;=50,"REMEDIATE","BLOCKED")))))</f>
        <v>CONDITIONALLY_READY</v>
      </c>
      <c r="N18" t="s">
        <v>1829</v>
      </c>
      <c r="P18" t="s">
        <v>1830</v>
      </c>
    </row>
    <row r="19" spans="1:16">
      <c r="A19" s="45" t="s">
        <v>433</v>
      </c>
      <c r="B19" s="45" t="s">
        <v>1798</v>
      </c>
      <c r="C19" s="45" t="s">
        <v>32</v>
      </c>
      <c r="D19" s="45">
        <v>4</v>
      </c>
      <c r="E19" s="45" t="s">
        <v>1697</v>
      </c>
      <c r="F19" s="45">
        <f t="shared" si="0"/>
        <v>1</v>
      </c>
      <c r="G19" s="45" t="s">
        <v>1712</v>
      </c>
      <c r="H19" s="45">
        <f t="shared" si="1"/>
        <v>1</v>
      </c>
      <c r="I19" s="45">
        <f t="shared" si="2"/>
        <v>4</v>
      </c>
      <c r="J19" s="45">
        <f t="shared" si="3"/>
        <v>4</v>
      </c>
      <c r="K19" s="45">
        <f t="shared" si="4"/>
        <v>4</v>
      </c>
      <c r="L19" t="s">
        <v>1831</v>
      </c>
      <c r="M19" t="s">
        <v>1832</v>
      </c>
      <c r="N19" t="s">
        <v>1833</v>
      </c>
      <c r="P19" t="s">
        <v>1834</v>
      </c>
    </row>
    <row r="20" spans="1:16">
      <c r="A20" s="45" t="s">
        <v>445</v>
      </c>
      <c r="B20" s="45" t="s">
        <v>1798</v>
      </c>
      <c r="C20" s="45" t="s">
        <v>32</v>
      </c>
      <c r="D20" s="45">
        <v>4</v>
      </c>
      <c r="E20" s="45" t="s">
        <v>1701</v>
      </c>
      <c r="F20" s="45">
        <f t="shared" si="0"/>
        <v>0</v>
      </c>
      <c r="G20" s="45" t="s">
        <v>1712</v>
      </c>
      <c r="H20" s="45">
        <f t="shared" si="1"/>
        <v>1</v>
      </c>
      <c r="I20" s="45">
        <f t="shared" si="2"/>
        <v>0</v>
      </c>
      <c r="J20" s="45">
        <f t="shared" si="3"/>
        <v>4</v>
      </c>
      <c r="K20" s="45">
        <f t="shared" si="4"/>
        <v>4</v>
      </c>
    </row>
    <row r="21" spans="1:16">
      <c r="A21" s="45" t="s">
        <v>457</v>
      </c>
      <c r="B21" s="45" t="s">
        <v>1798</v>
      </c>
      <c r="C21" s="45" t="s">
        <v>32</v>
      </c>
      <c r="D21" s="45">
        <v>4</v>
      </c>
      <c r="E21" s="45" t="s">
        <v>1697</v>
      </c>
      <c r="F21" s="45">
        <f t="shared" si="0"/>
        <v>1</v>
      </c>
      <c r="G21" s="45" t="s">
        <v>1712</v>
      </c>
      <c r="H21" s="45">
        <f t="shared" si="1"/>
        <v>1</v>
      </c>
      <c r="I21" s="45">
        <f t="shared" si="2"/>
        <v>4</v>
      </c>
      <c r="J21" s="45">
        <f t="shared" si="3"/>
        <v>4</v>
      </c>
      <c r="K21" s="45">
        <f t="shared" si="4"/>
        <v>4</v>
      </c>
    </row>
    <row r="22" spans="1:16">
      <c r="A22" s="45" t="s">
        <v>503</v>
      </c>
      <c r="B22" s="45" t="s">
        <v>1798</v>
      </c>
      <c r="C22" s="45" t="s">
        <v>32</v>
      </c>
      <c r="D22" s="45">
        <v>4</v>
      </c>
      <c r="E22" s="45" t="s">
        <v>1697</v>
      </c>
      <c r="F22" s="45">
        <f t="shared" si="0"/>
        <v>1</v>
      </c>
      <c r="G22" s="45" t="s">
        <v>1712</v>
      </c>
      <c r="H22" s="45">
        <f t="shared" si="1"/>
        <v>1</v>
      </c>
      <c r="I22" s="45">
        <f t="shared" si="2"/>
        <v>4</v>
      </c>
      <c r="J22" s="45">
        <f t="shared" si="3"/>
        <v>4</v>
      </c>
      <c r="K22" s="45">
        <f t="shared" si="4"/>
        <v>4</v>
      </c>
    </row>
    <row r="23" spans="1:16">
      <c r="A23" s="45" t="s">
        <v>579</v>
      </c>
      <c r="B23" s="45" t="s">
        <v>1798</v>
      </c>
      <c r="C23" s="45" t="s">
        <v>33</v>
      </c>
      <c r="D23" s="45">
        <v>4</v>
      </c>
      <c r="E23" s="45" t="s">
        <v>1697</v>
      </c>
      <c r="F23" s="45">
        <f t="shared" si="0"/>
        <v>1</v>
      </c>
      <c r="G23" s="45" t="s">
        <v>1712</v>
      </c>
      <c r="H23" s="45">
        <f t="shared" si="1"/>
        <v>1</v>
      </c>
      <c r="I23" s="45">
        <f t="shared" si="2"/>
        <v>4</v>
      </c>
      <c r="J23" s="45">
        <f t="shared" si="3"/>
        <v>4</v>
      </c>
      <c r="K23" s="45">
        <f t="shared" si="4"/>
        <v>4</v>
      </c>
    </row>
    <row r="24" spans="1:16">
      <c r="A24" s="45" t="s">
        <v>604</v>
      </c>
      <c r="B24" s="45" t="s">
        <v>1798</v>
      </c>
      <c r="C24" s="45" t="s">
        <v>33</v>
      </c>
      <c r="D24" s="45">
        <v>4</v>
      </c>
      <c r="E24" s="45" t="s">
        <v>1697</v>
      </c>
      <c r="F24" s="45">
        <f t="shared" si="0"/>
        <v>1</v>
      </c>
      <c r="G24" s="45" t="s">
        <v>1712</v>
      </c>
      <c r="H24" s="45">
        <f t="shared" si="1"/>
        <v>1</v>
      </c>
      <c r="I24" s="45">
        <f t="shared" si="2"/>
        <v>4</v>
      </c>
      <c r="J24" s="45">
        <f t="shared" si="3"/>
        <v>4</v>
      </c>
      <c r="K24" s="45">
        <f t="shared" si="4"/>
        <v>4</v>
      </c>
    </row>
    <row r="25" spans="1:16">
      <c r="A25" s="45" t="s">
        <v>617</v>
      </c>
      <c r="B25" s="45" t="s">
        <v>1798</v>
      </c>
      <c r="C25" s="45" t="s">
        <v>33</v>
      </c>
      <c r="D25" s="45">
        <v>4</v>
      </c>
      <c r="E25" s="45" t="s">
        <v>1697</v>
      </c>
      <c r="F25" s="45">
        <f t="shared" si="0"/>
        <v>1</v>
      </c>
      <c r="G25" s="45" t="s">
        <v>1712</v>
      </c>
      <c r="H25" s="45">
        <f t="shared" si="1"/>
        <v>1</v>
      </c>
      <c r="I25" s="45">
        <f t="shared" si="2"/>
        <v>4</v>
      </c>
      <c r="J25" s="45">
        <f t="shared" si="3"/>
        <v>4</v>
      </c>
      <c r="K25" s="45">
        <f t="shared" si="4"/>
        <v>4</v>
      </c>
    </row>
    <row r="26" spans="1:16">
      <c r="A26" s="45" t="s">
        <v>778</v>
      </c>
      <c r="B26" s="45" t="s">
        <v>1798</v>
      </c>
      <c r="C26" s="45" t="s">
        <v>34</v>
      </c>
      <c r="D26" s="45">
        <v>4</v>
      </c>
      <c r="E26" s="45" t="s">
        <v>1699</v>
      </c>
      <c r="F26" s="45">
        <f t="shared" si="0"/>
        <v>0.5</v>
      </c>
      <c r="G26" s="45" t="s">
        <v>1712</v>
      </c>
      <c r="H26" s="45">
        <f t="shared" si="1"/>
        <v>1</v>
      </c>
      <c r="I26" s="45">
        <f t="shared" si="2"/>
        <v>2</v>
      </c>
      <c r="J26" s="45">
        <f t="shared" si="3"/>
        <v>4</v>
      </c>
      <c r="K26" s="45">
        <f t="shared" si="4"/>
        <v>4</v>
      </c>
    </row>
    <row r="27" spans="1:16">
      <c r="A27" s="45" t="s">
        <v>819</v>
      </c>
      <c r="B27" s="45" t="s">
        <v>1798</v>
      </c>
      <c r="C27" s="45" t="s">
        <v>34</v>
      </c>
      <c r="D27" s="45">
        <v>5</v>
      </c>
      <c r="E27" s="45" t="s">
        <v>1697</v>
      </c>
      <c r="F27" s="45">
        <f t="shared" si="0"/>
        <v>1</v>
      </c>
      <c r="G27" s="45" t="s">
        <v>1712</v>
      </c>
      <c r="H27" s="45">
        <f t="shared" si="1"/>
        <v>1</v>
      </c>
      <c r="I27" s="45">
        <f t="shared" si="2"/>
        <v>5</v>
      </c>
      <c r="J27" s="45">
        <f t="shared" si="3"/>
        <v>5</v>
      </c>
      <c r="K27" s="45">
        <f t="shared" si="4"/>
        <v>5</v>
      </c>
    </row>
    <row r="28" spans="1:16">
      <c r="A28" s="45" t="s">
        <v>907</v>
      </c>
      <c r="B28" s="45" t="s">
        <v>1798</v>
      </c>
      <c r="C28" s="45" t="s">
        <v>35</v>
      </c>
      <c r="D28" s="45">
        <v>4</v>
      </c>
      <c r="E28" s="45" t="s">
        <v>1697</v>
      </c>
      <c r="F28" s="45">
        <f t="shared" si="0"/>
        <v>1</v>
      </c>
      <c r="G28" s="45" t="s">
        <v>1712</v>
      </c>
      <c r="H28" s="45">
        <f t="shared" si="1"/>
        <v>1</v>
      </c>
      <c r="I28" s="45">
        <f t="shared" si="2"/>
        <v>4</v>
      </c>
      <c r="J28" s="45">
        <f t="shared" si="3"/>
        <v>4</v>
      </c>
      <c r="K28" s="45">
        <f t="shared" si="4"/>
        <v>4</v>
      </c>
    </row>
    <row r="29" spans="1:16">
      <c r="A29" s="45" t="s">
        <v>920</v>
      </c>
      <c r="B29" s="45" t="s">
        <v>1798</v>
      </c>
      <c r="C29" s="45" t="s">
        <v>35</v>
      </c>
      <c r="D29" s="45">
        <v>4</v>
      </c>
      <c r="E29" s="45" t="s">
        <v>1697</v>
      </c>
      <c r="F29" s="45">
        <f t="shared" si="0"/>
        <v>1</v>
      </c>
      <c r="G29" s="45" t="s">
        <v>1712</v>
      </c>
      <c r="H29" s="45">
        <f t="shared" si="1"/>
        <v>1</v>
      </c>
      <c r="I29" s="45">
        <f t="shared" si="2"/>
        <v>4</v>
      </c>
      <c r="J29" s="45">
        <f t="shared" si="3"/>
        <v>4</v>
      </c>
      <c r="K29" s="45">
        <f t="shared" si="4"/>
        <v>4</v>
      </c>
    </row>
    <row r="30" spans="1:16">
      <c r="A30" s="45" t="s">
        <v>931</v>
      </c>
      <c r="B30" s="45" t="s">
        <v>1798</v>
      </c>
      <c r="C30" s="45" t="s">
        <v>35</v>
      </c>
      <c r="D30" s="45">
        <v>4</v>
      </c>
      <c r="E30" s="45" t="s">
        <v>1701</v>
      </c>
      <c r="F30" s="45">
        <f t="shared" si="0"/>
        <v>0</v>
      </c>
      <c r="G30" s="45" t="s">
        <v>1712</v>
      </c>
      <c r="H30" s="45">
        <f t="shared" si="1"/>
        <v>1</v>
      </c>
      <c r="I30" s="45">
        <f t="shared" si="2"/>
        <v>0</v>
      </c>
      <c r="J30" s="45">
        <f t="shared" si="3"/>
        <v>4</v>
      </c>
      <c r="K30" s="45">
        <f t="shared" si="4"/>
        <v>4</v>
      </c>
    </row>
    <row r="31" spans="1:16">
      <c r="A31" s="45" t="s">
        <v>955</v>
      </c>
      <c r="B31" s="45" t="s">
        <v>1798</v>
      </c>
      <c r="C31" s="45" t="s">
        <v>35</v>
      </c>
      <c r="D31" s="45">
        <v>4</v>
      </c>
      <c r="E31" s="45" t="s">
        <v>1697</v>
      </c>
      <c r="F31" s="45">
        <f t="shared" si="0"/>
        <v>1</v>
      </c>
      <c r="G31" s="45" t="s">
        <v>1712</v>
      </c>
      <c r="H31" s="45">
        <f t="shared" si="1"/>
        <v>1</v>
      </c>
      <c r="I31" s="45">
        <f t="shared" si="2"/>
        <v>4</v>
      </c>
      <c r="J31" s="45">
        <f t="shared" si="3"/>
        <v>4</v>
      </c>
      <c r="K31" s="45">
        <f t="shared" si="4"/>
        <v>4</v>
      </c>
    </row>
    <row r="32" spans="1:16">
      <c r="A32" s="45" t="s">
        <v>1051</v>
      </c>
      <c r="B32" s="45" t="s">
        <v>1798</v>
      </c>
      <c r="C32" s="45" t="s">
        <v>36</v>
      </c>
      <c r="D32" s="45">
        <v>4</v>
      </c>
      <c r="E32" s="45" t="s">
        <v>1697</v>
      </c>
      <c r="F32" s="45">
        <f t="shared" si="0"/>
        <v>1</v>
      </c>
      <c r="G32" s="45" t="s">
        <v>1712</v>
      </c>
      <c r="H32" s="45">
        <f t="shared" si="1"/>
        <v>1</v>
      </c>
      <c r="I32" s="45">
        <f t="shared" si="2"/>
        <v>4</v>
      </c>
      <c r="J32" s="45">
        <f t="shared" si="3"/>
        <v>4</v>
      </c>
      <c r="K32" s="45">
        <f t="shared" si="4"/>
        <v>4</v>
      </c>
    </row>
    <row r="33" spans="1:11">
      <c r="A33" s="45" t="s">
        <v>1150</v>
      </c>
      <c r="B33" s="45" t="s">
        <v>1798</v>
      </c>
      <c r="C33" s="45" t="s">
        <v>37</v>
      </c>
      <c r="D33" s="45">
        <v>4</v>
      </c>
      <c r="E33" s="45" t="s">
        <v>1699</v>
      </c>
      <c r="F33" s="45">
        <f t="shared" si="0"/>
        <v>0.5</v>
      </c>
      <c r="G33" s="45" t="s">
        <v>1712</v>
      </c>
      <c r="H33" s="45">
        <f t="shared" si="1"/>
        <v>1</v>
      </c>
      <c r="I33" s="45">
        <f t="shared" si="2"/>
        <v>2</v>
      </c>
      <c r="J33" s="45">
        <f t="shared" si="3"/>
        <v>4</v>
      </c>
      <c r="K33" s="45">
        <f t="shared" si="4"/>
        <v>4</v>
      </c>
    </row>
    <row r="34" spans="1:11">
      <c r="A34" s="45" t="s">
        <v>364</v>
      </c>
      <c r="B34" s="45" t="s">
        <v>1802</v>
      </c>
      <c r="C34" s="45" t="s">
        <v>31</v>
      </c>
      <c r="D34" s="45">
        <v>2</v>
      </c>
      <c r="E34" s="45" t="s">
        <v>1697</v>
      </c>
      <c r="F34" s="45">
        <f t="shared" si="0"/>
        <v>1</v>
      </c>
      <c r="G34" s="45" t="s">
        <v>1712</v>
      </c>
      <c r="H34" s="45">
        <f t="shared" si="1"/>
        <v>1</v>
      </c>
      <c r="I34" s="45">
        <f t="shared" si="2"/>
        <v>2</v>
      </c>
      <c r="J34" s="45">
        <f t="shared" si="3"/>
        <v>2</v>
      </c>
      <c r="K34" s="45">
        <f t="shared" si="4"/>
        <v>2</v>
      </c>
    </row>
    <row r="35" spans="1:11">
      <c r="A35" s="45" t="s">
        <v>375</v>
      </c>
      <c r="B35" s="45" t="s">
        <v>1802</v>
      </c>
      <c r="C35" s="45" t="s">
        <v>31</v>
      </c>
      <c r="D35" s="45">
        <v>2</v>
      </c>
      <c r="E35" s="45" t="s">
        <v>1697</v>
      </c>
      <c r="F35" s="45">
        <f t="shared" si="0"/>
        <v>1</v>
      </c>
      <c r="G35" s="45" t="s">
        <v>1712</v>
      </c>
      <c r="H35" s="45">
        <f t="shared" si="1"/>
        <v>1</v>
      </c>
      <c r="I35" s="45">
        <f t="shared" si="2"/>
        <v>2</v>
      </c>
      <c r="J35" s="45">
        <f t="shared" si="3"/>
        <v>2</v>
      </c>
      <c r="K35" s="45">
        <f t="shared" si="4"/>
        <v>2</v>
      </c>
    </row>
    <row r="36" spans="1:11">
      <c r="A36" s="45" t="s">
        <v>387</v>
      </c>
      <c r="B36" s="45" t="s">
        <v>1802</v>
      </c>
      <c r="C36" s="45" t="s">
        <v>31</v>
      </c>
      <c r="D36" s="45">
        <v>2</v>
      </c>
      <c r="E36" s="45" t="s">
        <v>1697</v>
      </c>
      <c r="F36" s="45">
        <f t="shared" si="0"/>
        <v>1</v>
      </c>
      <c r="G36" s="45" t="s">
        <v>1712</v>
      </c>
      <c r="H36" s="45">
        <f t="shared" si="1"/>
        <v>1</v>
      </c>
      <c r="I36" s="45">
        <f t="shared" si="2"/>
        <v>2</v>
      </c>
      <c r="J36" s="45">
        <f t="shared" si="3"/>
        <v>2</v>
      </c>
      <c r="K36" s="45">
        <f t="shared" si="4"/>
        <v>2</v>
      </c>
    </row>
    <row r="37" spans="1:11">
      <c r="A37" s="45" t="s">
        <v>492</v>
      </c>
      <c r="B37" s="45" t="s">
        <v>1802</v>
      </c>
      <c r="C37" s="45" t="s">
        <v>32</v>
      </c>
      <c r="D37" s="45">
        <v>2</v>
      </c>
      <c r="E37" s="45" t="s">
        <v>1697</v>
      </c>
      <c r="F37" s="45">
        <f t="shared" si="0"/>
        <v>1</v>
      </c>
      <c r="G37" s="45" t="s">
        <v>1712</v>
      </c>
      <c r="H37" s="45">
        <f t="shared" si="1"/>
        <v>1</v>
      </c>
      <c r="I37" s="45">
        <f t="shared" si="2"/>
        <v>2</v>
      </c>
      <c r="J37" s="45">
        <f t="shared" si="3"/>
        <v>2</v>
      </c>
      <c r="K37" s="45">
        <f t="shared" si="4"/>
        <v>2</v>
      </c>
    </row>
    <row r="38" spans="1:11">
      <c r="A38" s="45" t="s">
        <v>525</v>
      </c>
      <c r="B38" s="45" t="s">
        <v>1802</v>
      </c>
      <c r="C38" s="45" t="s">
        <v>32</v>
      </c>
      <c r="D38" s="45">
        <v>4</v>
      </c>
      <c r="E38" s="45" t="s">
        <v>1699</v>
      </c>
      <c r="F38" s="45">
        <f t="shared" si="0"/>
        <v>0.5</v>
      </c>
      <c r="G38" s="45" t="s">
        <v>1712</v>
      </c>
      <c r="H38" s="45">
        <f t="shared" si="1"/>
        <v>1</v>
      </c>
      <c r="I38" s="45">
        <f t="shared" si="2"/>
        <v>2</v>
      </c>
      <c r="J38" s="45">
        <f t="shared" si="3"/>
        <v>4</v>
      </c>
      <c r="K38" s="45">
        <f t="shared" si="4"/>
        <v>4</v>
      </c>
    </row>
    <row r="39" spans="1:11">
      <c r="A39" s="45" t="s">
        <v>546</v>
      </c>
      <c r="B39" s="45" t="s">
        <v>1802</v>
      </c>
      <c r="C39" s="45" t="s">
        <v>32</v>
      </c>
      <c r="D39" s="45">
        <v>2</v>
      </c>
      <c r="E39" s="45" t="s">
        <v>1697</v>
      </c>
      <c r="F39" s="45">
        <f t="shared" si="0"/>
        <v>1</v>
      </c>
      <c r="G39" s="45" t="s">
        <v>1712</v>
      </c>
      <c r="H39" s="45">
        <f t="shared" si="1"/>
        <v>1</v>
      </c>
      <c r="I39" s="45">
        <f t="shared" si="2"/>
        <v>2</v>
      </c>
      <c r="J39" s="45">
        <f t="shared" si="3"/>
        <v>2</v>
      </c>
      <c r="K39" s="45">
        <f t="shared" si="4"/>
        <v>2</v>
      </c>
    </row>
    <row r="40" spans="1:11">
      <c r="A40" s="45" t="s">
        <v>735</v>
      </c>
      <c r="B40" s="45" t="s">
        <v>1802</v>
      </c>
      <c r="C40" s="45" t="s">
        <v>33</v>
      </c>
      <c r="D40" s="45">
        <v>2</v>
      </c>
      <c r="E40" s="45" t="s">
        <v>1697</v>
      </c>
      <c r="F40" s="45">
        <f t="shared" si="0"/>
        <v>1</v>
      </c>
      <c r="G40" s="45" t="s">
        <v>1712</v>
      </c>
      <c r="H40" s="45">
        <f t="shared" si="1"/>
        <v>1</v>
      </c>
      <c r="I40" s="45">
        <f t="shared" si="2"/>
        <v>2</v>
      </c>
      <c r="J40" s="45">
        <f t="shared" si="3"/>
        <v>2</v>
      </c>
      <c r="K40" s="45">
        <f t="shared" si="4"/>
        <v>2</v>
      </c>
    </row>
    <row r="41" spans="1:11">
      <c r="A41" s="45" t="s">
        <v>830</v>
      </c>
      <c r="B41" s="45" t="s">
        <v>1802</v>
      </c>
      <c r="C41" s="45" t="s">
        <v>34</v>
      </c>
      <c r="D41" s="45">
        <v>4</v>
      </c>
      <c r="E41" s="45" t="s">
        <v>1697</v>
      </c>
      <c r="F41" s="45">
        <f t="shared" si="0"/>
        <v>1</v>
      </c>
      <c r="G41" s="45" t="s">
        <v>1712</v>
      </c>
      <c r="H41" s="45">
        <f t="shared" si="1"/>
        <v>1</v>
      </c>
      <c r="I41" s="45">
        <f t="shared" si="2"/>
        <v>4</v>
      </c>
      <c r="J41" s="45">
        <f t="shared" si="3"/>
        <v>4</v>
      </c>
      <c r="K41" s="45">
        <f t="shared" si="4"/>
        <v>4</v>
      </c>
    </row>
    <row r="42" spans="1:11">
      <c r="A42" s="45" t="s">
        <v>875</v>
      </c>
      <c r="B42" s="45" t="s">
        <v>1802</v>
      </c>
      <c r="C42" s="45" t="s">
        <v>34</v>
      </c>
      <c r="D42" s="45">
        <v>2</v>
      </c>
      <c r="E42" s="45" t="s">
        <v>1697</v>
      </c>
      <c r="F42" s="45">
        <f t="shared" si="0"/>
        <v>1</v>
      </c>
      <c r="G42" s="45" t="s">
        <v>1712</v>
      </c>
      <c r="H42" s="45">
        <f t="shared" si="1"/>
        <v>1</v>
      </c>
      <c r="I42" s="45">
        <f t="shared" si="2"/>
        <v>2</v>
      </c>
      <c r="J42" s="45">
        <f t="shared" si="3"/>
        <v>2</v>
      </c>
      <c r="K42" s="45">
        <f t="shared" si="4"/>
        <v>2</v>
      </c>
    </row>
    <row r="43" spans="1:11">
      <c r="A43" s="45" t="s">
        <v>1031</v>
      </c>
      <c r="B43" s="45" t="s">
        <v>1802</v>
      </c>
      <c r="C43" s="45" t="s">
        <v>35</v>
      </c>
      <c r="D43" s="45">
        <v>1</v>
      </c>
      <c r="E43" s="45" t="s">
        <v>1697</v>
      </c>
      <c r="F43" s="45">
        <f t="shared" si="0"/>
        <v>1</v>
      </c>
      <c r="G43" s="45" t="s">
        <v>1712</v>
      </c>
      <c r="H43" s="45">
        <f t="shared" si="1"/>
        <v>1</v>
      </c>
      <c r="I43" s="45">
        <f t="shared" si="2"/>
        <v>1</v>
      </c>
      <c r="J43" s="45">
        <f t="shared" si="3"/>
        <v>1</v>
      </c>
      <c r="K43" s="45">
        <f t="shared" si="4"/>
        <v>1</v>
      </c>
    </row>
    <row r="44" spans="1:11">
      <c r="A44" s="45" t="s">
        <v>1117</v>
      </c>
      <c r="B44" s="45" t="s">
        <v>1802</v>
      </c>
      <c r="C44" s="45" t="s">
        <v>36</v>
      </c>
      <c r="D44" s="45">
        <v>2</v>
      </c>
      <c r="E44" s="45" t="s">
        <v>1699</v>
      </c>
      <c r="F44" s="45">
        <f t="shared" si="0"/>
        <v>0.5</v>
      </c>
      <c r="G44" s="45" t="s">
        <v>1714</v>
      </c>
      <c r="H44" s="45">
        <f t="shared" si="1"/>
        <v>0.7</v>
      </c>
      <c r="I44" s="45">
        <f t="shared" si="2"/>
        <v>1</v>
      </c>
      <c r="J44" s="45">
        <f t="shared" si="3"/>
        <v>2</v>
      </c>
      <c r="K44" s="45">
        <f t="shared" si="4"/>
        <v>1.4</v>
      </c>
    </row>
    <row r="45" spans="1:11">
      <c r="A45" s="45" t="s">
        <v>1129</v>
      </c>
      <c r="B45" s="45" t="s">
        <v>1802</v>
      </c>
      <c r="C45" s="45" t="s">
        <v>36</v>
      </c>
      <c r="D45" s="45">
        <v>2</v>
      </c>
      <c r="E45" s="45" t="s">
        <v>1697</v>
      </c>
      <c r="F45" s="45">
        <f t="shared" si="0"/>
        <v>1</v>
      </c>
      <c r="G45" s="45" t="s">
        <v>1712</v>
      </c>
      <c r="H45" s="45">
        <f t="shared" si="1"/>
        <v>1</v>
      </c>
      <c r="I45" s="45">
        <f t="shared" si="2"/>
        <v>2</v>
      </c>
      <c r="J45" s="45">
        <f t="shared" si="3"/>
        <v>2</v>
      </c>
      <c r="K45" s="45">
        <f t="shared" si="4"/>
        <v>2</v>
      </c>
    </row>
    <row r="46" spans="1:11">
      <c r="A46" s="45" t="s">
        <v>1163</v>
      </c>
      <c r="B46" s="45" t="s">
        <v>1802</v>
      </c>
      <c r="C46" s="45" t="s">
        <v>37</v>
      </c>
      <c r="D46" s="45">
        <v>4</v>
      </c>
      <c r="E46" s="45" t="s">
        <v>1697</v>
      </c>
      <c r="F46" s="45">
        <f t="shared" si="0"/>
        <v>1</v>
      </c>
      <c r="G46" s="45" t="s">
        <v>1712</v>
      </c>
      <c r="H46" s="45">
        <f t="shared" si="1"/>
        <v>1</v>
      </c>
      <c r="I46" s="45">
        <f t="shared" si="2"/>
        <v>4</v>
      </c>
      <c r="J46" s="45">
        <f t="shared" si="3"/>
        <v>4</v>
      </c>
      <c r="K46" s="45">
        <f t="shared" si="4"/>
        <v>4</v>
      </c>
    </row>
    <row r="47" spans="1:11">
      <c r="A47" s="47" t="s">
        <v>1282</v>
      </c>
      <c r="B47" s="47" t="s">
        <v>1802</v>
      </c>
      <c r="C47" s="47" t="s">
        <v>37</v>
      </c>
      <c r="D47" s="47">
        <v>2</v>
      </c>
      <c r="E47" s="47" t="s">
        <v>1697</v>
      </c>
      <c r="F47" s="47">
        <f t="shared" si="0"/>
        <v>1</v>
      </c>
      <c r="G47" s="47" t="s">
        <v>1712</v>
      </c>
      <c r="H47" s="47">
        <f t="shared" si="1"/>
        <v>1</v>
      </c>
      <c r="I47" s="47">
        <f t="shared" si="2"/>
        <v>2</v>
      </c>
      <c r="J47" s="47">
        <f t="shared" si="3"/>
        <v>2</v>
      </c>
      <c r="K47" s="47">
        <f t="shared" si="4"/>
        <v>2</v>
      </c>
    </row>
  </sheetData>
  <mergeCells count="3">
    <mergeCell ref="A1:S1"/>
    <mergeCell ref="A2:S2"/>
    <mergeCell ref="A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showGridLines="0" zoomScale="102" workbookViewId="0">
      <selection activeCell="D20" sqref="D20"/>
    </sheetView>
  </sheetViews>
  <sheetFormatPr baseColWidth="10" defaultColWidth="8.83203125" defaultRowHeight="15"/>
  <cols>
    <col min="1" max="1" width="12" customWidth="1"/>
    <col min="2" max="2" width="24" customWidth="1"/>
    <col min="3" max="3" width="34" customWidth="1"/>
    <col min="4" max="4" width="72" customWidth="1"/>
    <col min="5" max="5" width="26" customWidth="1"/>
    <col min="6" max="6" width="14" customWidth="1"/>
    <col min="7" max="7" width="24" customWidth="1"/>
    <col min="8" max="8" width="56" customWidth="1"/>
    <col min="9" max="9" width="24" customWidth="1"/>
  </cols>
  <sheetData>
    <row r="1" spans="1:9" ht="34" customHeight="1">
      <c r="A1" s="3" t="s">
        <v>1835</v>
      </c>
      <c r="B1" s="3"/>
      <c r="C1" s="3"/>
      <c r="D1" s="3"/>
      <c r="E1" s="3"/>
      <c r="F1" s="3"/>
      <c r="G1" s="3"/>
      <c r="H1" s="3"/>
      <c r="I1" s="3"/>
    </row>
    <row r="2" spans="1:9" ht="30" customHeight="1">
      <c r="A2" s="2" t="s">
        <v>1836</v>
      </c>
      <c r="B2" s="2"/>
      <c r="C2" s="2"/>
      <c r="D2" s="2"/>
      <c r="E2" s="2"/>
      <c r="F2" s="2"/>
      <c r="G2" s="2"/>
      <c r="H2" s="2"/>
      <c r="I2" s="2"/>
    </row>
    <row r="3" spans="1:9" ht="28" customHeight="1">
      <c r="A3" s="1" t="s">
        <v>1837</v>
      </c>
      <c r="B3" s="1"/>
      <c r="C3" s="1"/>
      <c r="D3" s="1"/>
      <c r="E3" s="1"/>
      <c r="F3" s="1"/>
      <c r="G3" s="1"/>
      <c r="H3" s="1"/>
      <c r="I3" s="1"/>
    </row>
    <row r="5" spans="1:9" ht="30" customHeight="1">
      <c r="A5" s="57" t="s">
        <v>91</v>
      </c>
      <c r="B5" s="58" t="s">
        <v>24</v>
      </c>
      <c r="C5" s="58" t="s">
        <v>1838</v>
      </c>
      <c r="D5" s="58" t="s">
        <v>97</v>
      </c>
      <c r="E5" s="58" t="s">
        <v>1839</v>
      </c>
      <c r="F5" s="58" t="s">
        <v>13</v>
      </c>
      <c r="G5" s="58" t="s">
        <v>1840</v>
      </c>
      <c r="H5" s="58" t="s">
        <v>1841</v>
      </c>
      <c r="I5" s="59" t="s">
        <v>1842</v>
      </c>
    </row>
    <row r="6" spans="1:9" ht="26">
      <c r="A6" s="60" t="s">
        <v>1175</v>
      </c>
      <c r="B6" s="60" t="s">
        <v>37</v>
      </c>
      <c r="C6" s="60" t="s">
        <v>1176</v>
      </c>
      <c r="D6" s="60" t="s">
        <v>1178</v>
      </c>
      <c r="E6" s="60" t="s">
        <v>116</v>
      </c>
      <c r="F6" s="60" t="s">
        <v>151</v>
      </c>
      <c r="G6" s="60" t="s">
        <v>1843</v>
      </c>
      <c r="H6" s="60" t="s">
        <v>1844</v>
      </c>
      <c r="I6" s="60" t="s">
        <v>1845</v>
      </c>
    </row>
    <row r="7" spans="1:9" ht="26">
      <c r="A7" s="62" t="s">
        <v>1247</v>
      </c>
      <c r="B7" s="62" t="s">
        <v>37</v>
      </c>
      <c r="C7" s="62" t="s">
        <v>1248</v>
      </c>
      <c r="D7" s="62" t="s">
        <v>1250</v>
      </c>
      <c r="E7" s="62" t="s">
        <v>1153</v>
      </c>
      <c r="F7" s="62" t="s">
        <v>177</v>
      </c>
      <c r="G7" s="62" t="s">
        <v>1846</v>
      </c>
      <c r="H7" s="62" t="s">
        <v>1844</v>
      </c>
      <c r="I7" s="62" t="s">
        <v>1845</v>
      </c>
    </row>
    <row r="8" spans="1:9" ht="26">
      <c r="A8" s="61" t="s">
        <v>966</v>
      </c>
      <c r="B8" s="61" t="s">
        <v>35</v>
      </c>
      <c r="C8" s="61" t="s">
        <v>967</v>
      </c>
      <c r="D8" s="61" t="s">
        <v>968</v>
      </c>
      <c r="E8" s="61" t="s">
        <v>116</v>
      </c>
      <c r="F8" s="61" t="s">
        <v>177</v>
      </c>
      <c r="G8" s="61" t="s">
        <v>1847</v>
      </c>
      <c r="H8" s="61" t="s">
        <v>1844</v>
      </c>
      <c r="I8" s="61" t="s">
        <v>1845</v>
      </c>
    </row>
    <row r="9" spans="1:9" ht="26">
      <c r="A9" s="62" t="s">
        <v>307</v>
      </c>
      <c r="B9" s="62" t="s">
        <v>31</v>
      </c>
      <c r="C9" s="62" t="s">
        <v>308</v>
      </c>
      <c r="D9" s="62" t="s">
        <v>310</v>
      </c>
      <c r="E9" s="62" t="s">
        <v>116</v>
      </c>
      <c r="F9" s="62" t="s">
        <v>177</v>
      </c>
      <c r="G9" s="62" t="s">
        <v>1848</v>
      </c>
      <c r="H9" s="62" t="s">
        <v>1844</v>
      </c>
      <c r="I9" s="62" t="s">
        <v>1845</v>
      </c>
    </row>
    <row r="10" spans="1:9" ht="26">
      <c r="A10" s="61" t="s">
        <v>480</v>
      </c>
      <c r="B10" s="61" t="s">
        <v>32</v>
      </c>
      <c r="C10" s="61" t="s">
        <v>481</v>
      </c>
      <c r="D10" s="61" t="s">
        <v>483</v>
      </c>
      <c r="E10" s="61" t="s">
        <v>297</v>
      </c>
      <c r="F10" s="61" t="s">
        <v>151</v>
      </c>
      <c r="G10" s="61" t="s">
        <v>1849</v>
      </c>
      <c r="H10" s="61" t="s">
        <v>1844</v>
      </c>
      <c r="I10" s="61" t="s">
        <v>1845</v>
      </c>
    </row>
    <row r="11" spans="1:9" ht="26">
      <c r="A11" s="62" t="s">
        <v>516</v>
      </c>
      <c r="B11" s="62" t="s">
        <v>32</v>
      </c>
      <c r="C11" s="62" t="s">
        <v>517</v>
      </c>
      <c r="D11" s="62" t="s">
        <v>518</v>
      </c>
      <c r="E11" s="62" t="s">
        <v>116</v>
      </c>
      <c r="F11" s="62" t="s">
        <v>177</v>
      </c>
      <c r="G11" s="62" t="s">
        <v>1850</v>
      </c>
      <c r="H11" s="62" t="s">
        <v>1844</v>
      </c>
      <c r="I11" s="62" t="s">
        <v>1845</v>
      </c>
    </row>
    <row r="12" spans="1:9" ht="26">
      <c r="A12" s="61" t="s">
        <v>629</v>
      </c>
      <c r="B12" s="61" t="s">
        <v>33</v>
      </c>
      <c r="C12" s="61" t="s">
        <v>630</v>
      </c>
      <c r="D12" s="61" t="s">
        <v>631</v>
      </c>
      <c r="E12" s="61" t="s">
        <v>220</v>
      </c>
      <c r="F12" s="61" t="s">
        <v>151</v>
      </c>
      <c r="G12" s="61" t="s">
        <v>1851</v>
      </c>
      <c r="H12" s="61" t="s">
        <v>1844</v>
      </c>
      <c r="I12" s="61" t="s">
        <v>1845</v>
      </c>
    </row>
    <row r="13" spans="1:9" ht="26">
      <c r="A13" s="62" t="s">
        <v>641</v>
      </c>
      <c r="B13" s="62" t="s">
        <v>33</v>
      </c>
      <c r="C13" s="62" t="s">
        <v>642</v>
      </c>
      <c r="D13" s="62" t="s">
        <v>644</v>
      </c>
      <c r="E13" s="62" t="s">
        <v>344</v>
      </c>
      <c r="F13" s="62" t="s">
        <v>151</v>
      </c>
      <c r="G13" s="62" t="s">
        <v>1852</v>
      </c>
      <c r="H13" s="62" t="s">
        <v>1844</v>
      </c>
      <c r="I13" s="62" t="s">
        <v>1845</v>
      </c>
    </row>
    <row r="14" spans="1:9" ht="26">
      <c r="A14" s="61" t="s">
        <v>701</v>
      </c>
      <c r="B14" s="61" t="s">
        <v>33</v>
      </c>
      <c r="C14" s="61" t="s">
        <v>702</v>
      </c>
      <c r="D14" s="61" t="s">
        <v>703</v>
      </c>
      <c r="E14" s="61" t="s">
        <v>220</v>
      </c>
      <c r="F14" s="61" t="s">
        <v>177</v>
      </c>
      <c r="G14" s="61" t="s">
        <v>1843</v>
      </c>
      <c r="H14" s="61" t="s">
        <v>1844</v>
      </c>
      <c r="I14" s="61" t="s">
        <v>1845</v>
      </c>
    </row>
    <row r="15" spans="1:9" ht="26">
      <c r="A15" s="62" t="s">
        <v>723</v>
      </c>
      <c r="B15" s="62" t="s">
        <v>33</v>
      </c>
      <c r="C15" s="62" t="s">
        <v>724</v>
      </c>
      <c r="D15" s="62" t="s">
        <v>726</v>
      </c>
      <c r="E15" s="62" t="s">
        <v>220</v>
      </c>
      <c r="F15" s="62" t="s">
        <v>151</v>
      </c>
      <c r="G15" s="62" t="s">
        <v>1853</v>
      </c>
      <c r="H15" s="62" t="s">
        <v>1844</v>
      </c>
      <c r="I15" s="62" t="s">
        <v>1845</v>
      </c>
    </row>
    <row r="16" spans="1:9" ht="65">
      <c r="A16" s="61" t="s">
        <v>790</v>
      </c>
      <c r="B16" s="61" t="s">
        <v>34</v>
      </c>
      <c r="C16" s="61" t="s">
        <v>791</v>
      </c>
      <c r="D16" s="61" t="s">
        <v>792</v>
      </c>
      <c r="E16" s="61" t="s">
        <v>116</v>
      </c>
      <c r="F16" s="61" t="s">
        <v>151</v>
      </c>
      <c r="G16" s="61" t="s">
        <v>1854</v>
      </c>
      <c r="H16" s="61" t="s">
        <v>1844</v>
      </c>
      <c r="I16" s="61" t="s">
        <v>1845</v>
      </c>
    </row>
    <row r="17" spans="1:9" ht="26">
      <c r="A17" s="63" t="s">
        <v>851</v>
      </c>
      <c r="B17" s="63" t="s">
        <v>34</v>
      </c>
      <c r="C17" s="63" t="s">
        <v>852</v>
      </c>
      <c r="D17" s="63" t="s">
        <v>854</v>
      </c>
      <c r="E17" s="63" t="s">
        <v>116</v>
      </c>
      <c r="F17" s="63" t="s">
        <v>151</v>
      </c>
      <c r="G17" s="63" t="s">
        <v>1855</v>
      </c>
      <c r="H17" s="63" t="s">
        <v>1844</v>
      </c>
      <c r="I17" s="63" t="s">
        <v>1845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 Overview</vt:lpstr>
      <vt:lpstr>02 Check Catalogue</vt:lpstr>
      <vt:lpstr>03 Root Cause Taxonomy</vt:lpstr>
      <vt:lpstr>04 Coverage Matrix</vt:lpstr>
      <vt:lpstr>05 Initial Connect Runbook</vt:lpstr>
      <vt:lpstr>06 Field Mapping Reference</vt:lpstr>
      <vt:lpstr>07 Scoring Model</vt:lpstr>
      <vt:lpstr>08 Score Assembly</vt:lpstr>
      <vt:lpstr>09 MVP1 Check Scope</vt:lpstr>
      <vt:lpstr>10 Lumera Scoring Example</vt:lpstr>
      <vt:lpstr>11 Pilot Supplemental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</cp:lastModifiedBy>
  <dcterms:modified xsi:type="dcterms:W3CDTF">2026-08-07T10:51:48Z</dcterms:modified>
</cp:coreProperties>
</file>