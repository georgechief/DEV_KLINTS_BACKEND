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e8182e7fc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Overview" sheetId="1" r:id="R655f31ab74ba4bde"/>
    <x:sheet xmlns:r="http://schemas.openxmlformats.org/officeDocument/2006/relationships" name="02 Traceability" sheetId="2" r:id="R31207f55c56041b9"/>
    <x:sheet xmlns:r="http://schemas.openxmlformats.org/officeDocument/2006/relationships" name="03 Defect Log" sheetId="3" r:id="R798f98edc38d4f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3A5F"/>
      <x:name val="Carlito"/>
    </x:font>
    <x:font>
      <x:sz val="9"/>
      <x:color rgb="FF9C9A92"/>
      <x:name val="Carlito"/>
    </x:font>
    <x:font>
      <x:b/>
      <x:sz val="9"/>
      <x:color rgb="FFFFFFFF"/>
      <x:name val="Carlito"/>
    </x:font>
    <x:font>
      <x:sz val="9"/>
      <x:color rgb="FF16161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161A"/>
      </x:patternFill>
    </x:fill>
    <x:fill>
      <x:patternFill patternType="solid">
        <x:fgColor rgb="FFF5F2EB"/>
      </x:patternFill>
    </x:fill>
    <x:fill>
      <x:patternFill patternType="solid">
        <x:fgColor rgb="FFF7F6F2"/>
      </x:patternFill>
    </x:fill>
  </x:fills>
  <x:borders count="7">
    <x:border/>
    <x:border>
      <x:left style="thin">
        <x:color rgb="FF16161A"/>
      </x:left>
      <x:top style="thin">
        <x:color rgb="FF16161A"/>
      </x:top>
      <x:bottom style="thin">
        <x:color rgb="FF16161A"/>
      </x:bottom>
    </x:border>
    <x:border>
      <x:top style="thin">
        <x:color rgb="FF16161A"/>
      </x:top>
      <x:bottom style="thin">
        <x:color rgb="FF16161A"/>
      </x:bottom>
    </x:border>
    <x:border>
      <x:right style="thin">
        <x:color rgb="FF16161A"/>
      </x:right>
      <x:top style="thin">
        <x:color rgb="FF16161A"/>
      </x:top>
      <x:bottom style="thin">
        <x:color rgb="FF16161A"/>
      </x:bottom>
    </x:border>
    <x:border>
      <x:bottom style="thin">
        <x:color rgb="FFE8E4D9"/>
      </x:bottom>
    </x:border>
    <x:border>
      <x:top style="thin">
        <x:color rgb="FFE8E4D9"/>
      </x:top>
      <x:bottom style="thin">
        <x:color rgb="FFE8E4D9"/>
      </x:bottom>
    </x:border>
    <x:border>
      <x:top style="thin">
        <x:color rgb="FFE8E4D9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0e4dd5b574df9" /><Relationship Type="http://schemas.openxmlformats.org/officeDocument/2006/relationships/theme" Target="/xl/theme/theme1.xml" Id="R005257fc801b4112" /><Relationship Type="http://schemas.openxmlformats.org/officeDocument/2006/relationships/sharedStrings" Target="/xl/sharedStrings.xml" Id="Ra65cc0cedb1a40fe" /><Relationship Type="http://schemas.openxmlformats.org/officeDocument/2006/relationships/worksheet" Target="/xl/worksheets/sheet1.xml" Id="R655f31ab74ba4bde" /><Relationship Type="http://schemas.openxmlformats.org/officeDocument/2006/relationships/worksheet" Target="/xl/worksheets/sheet2.xml" Id="R31207f55c56041b9" /><Relationship Type="http://schemas.openxmlformats.org/officeDocument/2006/relationships/worksheet" Target="/xl/worksheets/sheet3.xml" Id="R798f98edc38d4f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72" hidden="0" customWidth="1"/>
  </x:cols>
  <x:sheetData>
    <x:row r="1" ht="34" customHeight="1">
      <x:c r="A1" s="3" t="str">
        <x:v>MVP1 Requirements Traceability Matrix</x:v>
      </x:c>
      <x:c r="B1" s="3"/>
      <x:c r="C1" s="3"/>
      <x:c r="D1" s="3"/>
      <x:c r="E1" s="3"/>
      <x:c r="F1" s="3"/>
    </x:row>
    <x:row r="2" ht="30" customHeight="1">
      <x:c r="A2" s="6" t="str">
        <x:v>Corrective audit: source -&gt; specification -&gt; machine contract -&gt; backlog -&gt; acceptance evidence</x:v>
      </x:c>
      <x:c r="B2" s="6"/>
      <x:c r="C2" s="6"/>
      <x:c r="D2" s="6"/>
      <x:c r="E2" s="6"/>
      <x:c r="F2" s="6"/>
    </x:row>
    <x:row r="3" ht="28" customHeight="1">
      <x:c r="A3" s="9" t="str">
        <x:v>Verdict: PASS WITH RESIDUAL EXTERNAL RISKS. This means the specification package is coherent enough to implement; it does not mean the backend or live Manago/MCP integration has passed.</x:v>
      </x:c>
      <x:c r="B3" s="9"/>
      <x:c r="C3" s="9"/>
      <x:c r="D3" s="9"/>
      <x:c r="E3" s="9"/>
      <x:c r="F3" s="9"/>
    </x:row>
    <x:row r="5" ht="30" customHeight="1">
      <x:c r="A5" s="17" t="str">
        <x:v>Metric</x:v>
      </x:c>
      <x:c r="B5" s="18" t="str">
        <x:v>Formula/Value</x:v>
      </x:c>
      <x:c r="C5" s="19" t="str">
        <x:v>Meaning</x:v>
      </x:c>
    </x:row>
    <x:row r="6">
      <x:c r="A6" s="27" t="str">
        <x:v>Requirements</x:v>
      </x:c>
      <x:c r="B6" s="27" t="n">
        <x:f>COUNTA('02 Traceability'!A6:A200)</x:f>
        <x:v>22</x:v>
      </x:c>
      <x:c r="C6" s="27" t="str">
        <x:v>Rows in 02 Traceability</x:v>
      </x:c>
    </x:row>
    <x:row r="7">
      <x:c r="A7" s="30" t="str">
        <x:v>Traceable</x:v>
      </x:c>
      <x:c r="B7" s="30" t="n">
        <x:f>COUNTIF('02 Traceability'!I6:I200,"TRACEABLE")</x:f>
        <x:v>22</x:v>
      </x:c>
      <x:c r="C7" s="30" t="str">
        <x:v>Requirements with a complete chain</x:v>
      </x:c>
    </x:row>
    <x:row r="8">
      <x:c r="A8" s="28" t="str">
        <x:v>Open/Failed</x:v>
      </x:c>
      <x:c r="B8" s="28" t="n">
        <x:f>B6-B7</x:f>
        <x:v>0</x:v>
      </x:c>
      <x:c r="C8" s="28" t="str">
        <x:v>Any non-traceable requirement</x:v>
      </x:c>
    </x:row>
    <x:row r="9">
      <x:c r="A9" s="30" t="str">
        <x:v>Closed defects</x:v>
      </x:c>
      <x:c r="B9" s="30" t="n">
        <x:f>COUNTIF('03 Defect Log'!H6:H100,"CLOSED")</x:f>
        <x:v>8</x:v>
      </x:c>
      <x:c r="C9" s="30" t="str">
        <x:v>Rows closed in 03 Defect Log</x:v>
      </x:c>
    </x:row>
    <x:row r="10">
      <x:c r="A10" s="29" t="str">
        <x:v>Release verdict</x:v>
      </x:c>
      <x:c r="B10" s="29" t="str">
        <x:v>PASS WITH RESIDUAL EXTERNAL RISKS</x:v>
      </x:c>
      <x:c r="C10" s="29" t="str">
        <x:v>MCP and backend execution evidence remain pending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64" hidden="0" customWidth="1"/>
    <x:col min="4" max="4" width="34" hidden="0" customWidth="1"/>
    <x:col min="5" max="5" width="42" hidden="0" customWidth="1"/>
    <x:col min="6" max="6" width="42" hidden="0" customWidth="1"/>
    <x:col min="7" max="7" width="18" hidden="0" customWidth="1"/>
    <x:col min="8" max="8" width="22" hidden="0" customWidth="1"/>
    <x:col min="9" max="9" width="18" hidden="0" customWidth="1"/>
    <x:col min="10" max="10" width="42" hidden="0" customWidth="1"/>
  </x:cols>
  <x:sheetData>
    <x:row r="1" ht="34" customHeight="1">
      <x:c r="A1" s="3" t="str">
        <x:v>Requirements Traceability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No requirement is complete until the full chain is present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8" customHeight="1">
      <x:c r="A3" s="9" t="str">
        <x:v>Klints · MVP1 build contract · v1.4.1 · 18 July 2026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 ht="30" customHeight="1">
      <x:c r="A5" s="17" t="str">
        <x:v>Requirement ID</x:v>
      </x:c>
      <x:c r="B5" s="18" t="str">
        <x:v>Domain</x:v>
      </x:c>
      <x:c r="C5" s="18" t="str">
        <x:v>Requirement</x:v>
      </x:c>
      <x:c r="D5" s="18" t="str">
        <x:v>Source</x:v>
      </x:c>
      <x:c r="E5" s="18" t="str">
        <x:v>Specification</x:v>
      </x:c>
      <x:c r="F5" s="18" t="str">
        <x:v>Machine Contract</x:v>
      </x:c>
      <x:c r="G5" s="18" t="str">
        <x:v>Backlog</x:v>
      </x:c>
      <x:c r="H5" s="18" t="str">
        <x:v>Acceptance Test</x:v>
      </x:c>
      <x:c r="I5" s="18" t="str">
        <x:v>Status</x:v>
      </x:c>
      <x:c r="J5" s="19" t="str">
        <x:v>Residual Risk</x:v>
      </x:c>
    </x:row>
    <x:row r="6">
      <x:c r="A6" s="27" t="str">
        <x:v>RQ-DCS-001</x:v>
      </x:c>
      <x:c r="B6" s="27" t="str">
        <x:v>DCS</x:v>
      </x:c>
      <x:c r="C6" s="27" t="str">
        <x:v>Headline onboarding score uses exact 42 checks (28 rule + 14 drift)</x:v>
      </x:c>
      <x:c r="D6" s="27" t="str">
        <x:v>DCS v1.3 catalogue</x:v>
      </x:c>
      <x:c r="E6" s="27" t="str">
        <x:v>DCS v1.4.1 · 09 MVP1 Check Scope</x:v>
      </x:c>
      <x:c r="F6" s="27" t="str">
        <x:v>check_definition + dcs_run</x:v>
      </x:c>
      <x:c r="G6" s="27" t="str">
        <x:v>BL-002</x:v>
      </x:c>
      <x:c r="H6" s="27" t="str">
        <x:v>AT-003</x:v>
      </x:c>
      <x:c r="I6" s="27" t="str">
        <x:v>TRACEABLE</x:v>
      </x:c>
      <x:c r="J6" s="27" t="str">
        <x:v>102-check catalogue remains expansion library</x:v>
      </x:c>
    </x:row>
    <x:row r="7">
      <x:c r="A7" s="30" t="str">
        <x:v>RQ-DCS-002</x:v>
      </x:c>
      <x:c r="B7" s="30" t="str">
        <x:v>DCS</x:v>
      </x:c>
      <x:c r="C7" s="30" t="str">
        <x:v>Failed foundation/coverage gate never produces misleading final score</x:v>
      </x:c>
      <x:c r="D7" s="30" t="str">
        <x:v>DCS v1.3 Overview/Runbook</x:v>
      </x:c>
      <x:c r="E7" s="30" t="str">
        <x:v>DCS v1.4.1 · 07–10</x:v>
      </x:c>
      <x:c r="F7" s="30" t="str">
        <x:v>dcs_run.schema.json</x:v>
      </x:c>
      <x:c r="G7" s="30" t="str">
        <x:v>BL-004</x:v>
      </x:c>
      <x:c r="H7" s="30" t="str">
        <x:v>AT-006–007</x:v>
      </x:c>
      <x:c r="I7" s="30" t="str">
        <x:v>TRACEABLE</x:v>
      </x:c>
      <x:c r="J7" s="30" t="str">
        <x:v>None</x:v>
      </x:c>
    </x:row>
    <x:row r="8">
      <x:c r="A8" s="28" t="str">
        <x:v>RQ-DCS-003</x:v>
      </x:c>
      <x:c r="B8" s="28" t="str">
        <x:v>DCS</x:v>
      </x:c>
      <x:c r="C8" s="28" t="str">
        <x:v>All 16 pilot gating IDs are executable in MVP1</x:v>
      </x:c>
      <x:c r="D8" s="28" t="str">
        <x:v>UC v1.3 gating columns</x:v>
      </x:c>
      <x:c r="E8" s="28" t="str">
        <x:v>DCS v1.4.1 · 11 Pilot Supplemental Gates</x:v>
      </x:c>
      <x:c r="F8" s="28" t="str">
        <x:v>check_definition.schema.json</x:v>
      </x:c>
      <x:c r="G8" s="28" t="str">
        <x:v>BL-003</x:v>
      </x:c>
      <x:c r="H8" s="28" t="str">
        <x:v>AT-004</x:v>
      </x:c>
      <x:c r="I8" s="28" t="str">
        <x:v>TRACEABLE</x:v>
      </x:c>
      <x:c r="J8" s="28" t="str">
        <x:v>12 supplemental checks are on-demand and non-headline</x:v>
      </x:c>
    </x:row>
    <x:row r="9">
      <x:c r="A9" s="30" t="str">
        <x:v>RQ-AF-001</x:v>
      </x:c>
      <x:c r="B9" s="30" t="str">
        <x:v>Architecture</x:v>
      </x:c>
      <x:c r="C9" s="30" t="str">
        <x:v>Inventory existing assets with evidence and dependencies</x:v>
      </x:c>
      <x:c r="D9" s="30" t="str">
        <x:v>Architecture v1.3</x:v>
      </x:c>
      <x:c r="E9" s="30" t="str">
        <x:v>Architecture v1.4.1 · 02/05</x:v>
      </x:c>
      <x:c r="F9" s="30" t="str">
        <x:v>architecture_asset.schema.json</x:v>
      </x:c>
      <x:c r="G9" s="30" t="str">
        <x:v>BL-008</x:v>
      </x:c>
      <x:c r="H9" s="30" t="str">
        <x:v>AT-011</x:v>
      </x:c>
      <x:c r="I9" s="30" t="str">
        <x:v>TRACEABLE</x:v>
      </x:c>
      <x:c r="J9" s="30" t="str">
        <x:v>MCP depth remains external</x:v>
      </x:c>
    </x:row>
    <x:row r="10">
      <x:c r="A10" s="28" t="str">
        <x:v>RQ-AF-002</x:v>
      </x:c>
      <x:c r="B10" s="28" t="str">
        <x:v>Architecture</x:v>
      </x:c>
      <x:c r="C10" s="28" t="str">
        <x:v>No retire/consolidate verdict without dependency proof</x:v>
      </x:c>
      <x:c r="D10" s="28" t="str">
        <x:v>Architecture v1.3 Overview</x:v>
      </x:c>
      <x:c r="E10" s="28" t="str">
        <x:v>Architecture v1.4.1 · 05/06</x:v>
      </x:c>
      <x:c r="F10" s="28" t="str">
        <x:v>architecture_verdict.schema.json</x:v>
      </x:c>
      <x:c r="G10" s="28" t="str">
        <x:v>BL-008–009</x:v>
      </x:c>
      <x:c r="H10" s="28" t="str">
        <x:v>AT-011</x:v>
      </x:c>
      <x:c r="I10" s="28" t="str">
        <x:v>TRACEABLE</x:v>
      </x:c>
      <x:c r="J10" s="28" t="str">
        <x:v>None</x:v>
      </x:c>
    </x:row>
    <x:row r="11">
      <x:c r="A11" s="30" t="str">
        <x:v>RQ-UC-001</x:v>
      </x:c>
      <x:c r="B11" s="30" t="str">
        <x:v>Use cases</x:v>
      </x:c>
      <x:c r="C11" s="30" t="str">
        <x:v>Exact 16 pilot build scope with detailed workflow logic</x:v>
      </x:c>
      <x:c r="D11" s="30" t="str">
        <x:v>UC v1.3 catalogue/blueprints</x:v>
      </x:c>
      <x:c r="E11" s="30" t="str">
        <x:v>UC v1.4.1 · 07/08</x:v>
      </x:c>
      <x:c r="F11" s="30" t="str">
        <x:v>workflow_blueprint.schema.json + 16 JSON files</x:v>
      </x:c>
      <x:c r="G11" s="30" t="str">
        <x:v>BL-010/016</x:v>
      </x:c>
      <x:c r="H11" s="30" t="str">
        <x:v>AT-002/017–018</x:v>
      </x:c>
      <x:c r="I11" s="30" t="str">
        <x:v>TRACEABLE</x:v>
      </x:c>
      <x:c r="J11" s="30" t="str">
        <x:v>None</x:v>
      </x:c>
    </x:row>
    <x:row r="12">
      <x:c r="A12" s="28" t="str">
        <x:v>RQ-UC-002</x:v>
      </x:c>
      <x:c r="B12" s="28" t="str">
        <x:v>Use cases</x:v>
      </x:c>
      <x:c r="C12" s="28" t="str">
        <x:v>UC-06B remains a variant of canonical UC-06</x:v>
      </x:c>
      <x:c r="D12" s="28" t="str">
        <x:v>UC v1.3 UC-06</x:v>
      </x:c>
      <x:c r="E12" s="28" t="str">
        <x:v>UC v1.4.1 · 07 MVP1 Pilot Scope</x:v>
      </x:c>
      <x:c r="F12" s="28" t="str">
        <x:v>parent_use_case_id in workflow schema</x:v>
      </x:c>
      <x:c r="G12" s="28" t="str">
        <x:v>BL-010</x:v>
      </x:c>
      <x:c r="H12" s="28" t="str">
        <x:v>AT-017</x:v>
      </x:c>
      <x:c r="I12" s="28" t="str">
        <x:v>TRACEABLE</x:v>
      </x:c>
      <x:c r="J12" s="28" t="str">
        <x:v>None</x:v>
      </x:c>
    </x:row>
    <x:row r="13">
      <x:c r="A13" s="30" t="str">
        <x:v>RQ-ORCH-001</x:v>
      </x:c>
      <x:c r="B13" s="30" t="str">
        <x:v>Orchestration</x:v>
      </x:c>
      <x:c r="C13" s="30" t="str">
        <x:v>Priority uses canonical v1.3 four-factor 0–3 formula</x:v>
      </x:c>
      <x:c r="D13" s="30" t="str">
        <x:v>Orchestration v1.3 · 02</x:v>
      </x:c>
      <x:c r="E13" s="30" t="str">
        <x:v>Orchestration v1.4.1 · 02/08/09</x:v>
      </x:c>
      <x:c r="F13" s="30" t="str">
        <x:v>orchestration_task.schema.json</x:v>
      </x:c>
      <x:c r="G13" s="30" t="str">
        <x:v>BL-011</x:v>
      </x:c>
      <x:c r="H13" s="30" t="str">
        <x:v>AT-012</x:v>
      </x:c>
      <x:c r="I13" s="30" t="str">
        <x:v>TRACEABLE</x:v>
      </x:c>
      <x:c r="J13" s="30" t="str">
        <x:v>Former conflicting 0–100 formula removed</x:v>
      </x:c>
    </x:row>
    <x:row r="14">
      <x:c r="A14" s="28" t="str">
        <x:v>RQ-ORCH-002</x:v>
      </x:c>
      <x:c r="B14" s="28" t="str">
        <x:v>Orchestration</x:v>
      </x:c>
      <x:c r="C14" s="28" t="str">
        <x:v>Dependencies, cycles and waves are deterministic</x:v>
      </x:c>
      <x:c r="D14" s="28" t="str">
        <x:v>Orchestration v1.3 · 03/04</x:v>
      </x:c>
      <x:c r="E14" s="28" t="str">
        <x:v>Orchestration v1.4.1 · 07/09</x:v>
      </x:c>
      <x:c r="F14" s="28" t="str">
        <x:v>orchestration_task.schema.json</x:v>
      </x:c>
      <x:c r="G14" s="28" t="str">
        <x:v>BL-012</x:v>
      </x:c>
      <x:c r="H14" s="28" t="str">
        <x:v>AT-013–014</x:v>
      </x:c>
      <x:c r="I14" s="28" t="str">
        <x:v>TRACEABLE</x:v>
      </x:c>
      <x:c r="J14" s="28" t="str">
        <x:v>Same-wave order uses topological sequence</x:v>
      </x:c>
    </x:row>
    <x:row r="15">
      <x:c r="A15" s="30" t="str">
        <x:v>RQ-REPORT-001</x:v>
      </x:c>
      <x:c r="B15" s="30" t="str">
        <x:v>Reporting</x:v>
      </x:c>
      <x:c r="C15" s="30" t="str">
        <x:v>Downloadable governance-grade Assessment Report is an explicit task</x:v>
      </x:c>
      <x:c r="D15" s="30" t="str">
        <x:v>Orchestration v1.3 · 01/06</x:v>
      </x:c>
      <x:c r="E15" s="30" t="str">
        <x:v>Orchestration v1.4.1 · 07–10</x:v>
      </x:c>
      <x:c r="F15" s="30" t="str">
        <x:v>assessment_report + orchestration_task</x:v>
      </x:c>
      <x:c r="G15" s="30" t="str">
        <x:v>BL-013</x:v>
      </x:c>
      <x:c r="H15" s="30" t="str">
        <x:v>AT-020–022</x:v>
      </x:c>
      <x:c r="I15" s="30" t="str">
        <x:v>TRACEABLE</x:v>
      </x:c>
      <x:c r="J15" s="30" t="str">
        <x:v>None</x:v>
      </x:c>
    </x:row>
    <x:row r="16">
      <x:c r="A16" s="28" t="str">
        <x:v>RQ-REPORT-002</x:v>
      </x:c>
      <x:c r="B16" s="28" t="str">
        <x:v>Reporting</x:v>
      </x:c>
      <x:c r="C16" s="28" t="str">
        <x:v>Free report shows full diagnostic and locks remediation</x:v>
      </x:c>
      <x:c r="D16" s="28" t="str">
        <x:v>Orchestration v1.3 · 06 A6:D18</x:v>
      </x:c>
      <x:c r="E16" s="28" t="str">
        <x:v>Orchestration v1.4.1 · 06/10</x:v>
      </x:c>
      <x:c r="F16" s="28" t="str">
        <x:v>assessment_report.schema.json</x:v>
      </x:c>
      <x:c r="G16" s="28" t="str">
        <x:v>BL-013</x:v>
      </x:c>
      <x:c r="H16" s="28" t="str">
        <x:v>AT-021</x:v>
      </x:c>
      <x:c r="I16" s="28" t="str">
        <x:v>TRACEABLE</x:v>
      </x:c>
      <x:c r="J16" s="28" t="str">
        <x:v>None</x:v>
      </x:c>
    </x:row>
    <x:row r="17">
      <x:c r="A17" s="30" t="str">
        <x:v>RQ-REPORT-003</x:v>
      </x:c>
      <x:c r="B17" s="30" t="str">
        <x:v>Reporting</x:v>
      </x:c>
      <x:c r="C17" s="30" t="str">
        <x:v>PDF, JSON and in-app variants share one governed payload</x:v>
      </x:c>
      <x:c r="D17" s="30" t="str">
        <x:v>Orchestration v1.3 · 06 row 18</x:v>
      </x:c>
      <x:c r="E17" s="30" t="str">
        <x:v>Orchestration v1.4.1 · 10</x:v>
      </x:c>
      <x:c r="F17" s="30" t="str">
        <x:v>assessment_report + OpenAPI</x:v>
      </x:c>
      <x:c r="G17" s="30" t="str">
        <x:v>BL-014</x:v>
      </x:c>
      <x:c r="H17" s="30" t="str">
        <x:v>AT-023</x:v>
      </x:c>
      <x:c r="I17" s="30" t="str">
        <x:v>TRACEABLE</x:v>
      </x:c>
      <x:c r="J17" s="30" t="str">
        <x:v>None</x:v>
      </x:c>
    </x:row>
    <x:row r="18">
      <x:c r="A18" s="28" t="str">
        <x:v>RQ-REPORT-004</x:v>
      </x:c>
      <x:c r="B18" s="28" t="str">
        <x:v>Reporting</x:v>
      </x:c>
      <x:c r="C18" s="28" t="str">
        <x:v>Report API supports create/status/download with idempotency</x:v>
      </x:c>
      <x:c r="D18" s="28" t="str">
        <x:v>Derived implementation requirement</x:v>
      </x:c>
      <x:c r="E18" s="28" t="str">
        <x:v>Orchestration v1.4.1 · 10</x:v>
      </x:c>
      <x:c r="F18" s="28" t="str">
        <x:v>assessment_report_api.openapi.json</x:v>
      </x:c>
      <x:c r="G18" s="28" t="str">
        <x:v>BL-014</x:v>
      </x:c>
      <x:c r="H18" s="28" t="str">
        <x:v>AT-020/026–027</x:v>
      </x:c>
      <x:c r="I18" s="28" t="str">
        <x:v>TRACEABLE</x:v>
      </x:c>
      <x:c r="J18" s="28" t="str">
        <x:v>Regenerate semantics documented in workbook</x:v>
      </x:c>
    </x:row>
    <x:row r="19">
      <x:c r="A19" s="30" t="str">
        <x:v>RQ-REPORT-005</x:v>
      </x:c>
      <x:c r="B19" s="30" t="str">
        <x:v>Reporting</x:v>
      </x:c>
      <x:c r="C19" s="30" t="str">
        <x:v>No cross-tenant report metadata or bytes</x:v>
      </x:c>
      <x:c r="D19" s="30" t="str">
        <x:v>Neutral data-layer boundary</x:v>
      </x:c>
      <x:c r="E19" s="30" t="str">
        <x:v>Orchestration v1.4.1 · 10</x:v>
      </x:c>
      <x:c r="F19" s="30" t="str">
        <x:v>assessment_report.schema.json + OpenAPI</x:v>
      </x:c>
      <x:c r="G19" s="30" t="str">
        <x:v>BL-015</x:v>
      </x:c>
      <x:c r="H19" s="30" t="str">
        <x:v>AT-024/027</x:v>
      </x:c>
      <x:c r="I19" s="30" t="str">
        <x:v>TRACEABLE</x:v>
      </x:c>
      <x:c r="J19" s="30" t="str">
        <x:v>Backend evidence not yet run</x:v>
      </x:c>
    </x:row>
    <x:row r="20">
      <x:c r="A20" s="28" t="str">
        <x:v>RQ-REPORT-006</x:v>
      </x:c>
      <x:c r="B20" s="28" t="str">
        <x:v>Reporting</x:v>
      </x:c>
      <x:c r="C20" s="28" t="str">
        <x:v>Default report excludes contact-level PII</x:v>
      </x:c>
      <x:c r="D20" s="28" t="str">
        <x:v>Governance requirement</x:v>
      </x:c>
      <x:c r="E20" s="28" t="str">
        <x:v>Orchestration v1.4.1 · 10</x:v>
      </x:c>
      <x:c r="F20" s="28" t="str">
        <x:v>assessment_report.schema.json</x:v>
      </x:c>
      <x:c r="G20" s="28" t="str">
        <x:v>BL-015</x:v>
      </x:c>
      <x:c r="H20" s="28" t="str">
        <x:v>AT-025</x:v>
      </x:c>
      <x:c r="I20" s="28" t="str">
        <x:v>TRACEABLE</x:v>
      </x:c>
      <x:c r="J20" s="28" t="str">
        <x:v>Backend scan not yet run</x:v>
      </x:c>
    </x:row>
    <x:row r="21">
      <x:c r="A21" s="30" t="str">
        <x:v>RQ-REPORT-007</x:v>
      </x:c>
      <x:c r="B21" s="30" t="str">
        <x:v>Reporting</x:v>
      </x:c>
      <x:c r="C21" s="30" t="str">
        <x:v>Incomplete inputs yield explicit INCOMPLETE report with null score</x:v>
      </x:c>
      <x:c r="D21" s="30" t="str">
        <x:v>DCS no-incomplete-score rule</x:v>
      </x:c>
      <x:c r="E21" s="30" t="str">
        <x:v>Orchestration v1.4.1 · 09/10</x:v>
      </x:c>
      <x:c r="F21" s="30" t="str">
        <x:v>assessment_report.schema.json</x:v>
      </x:c>
      <x:c r="G21" s="30" t="str">
        <x:v>BL-013</x:v>
      </x:c>
      <x:c r="H21" s="30" t="str">
        <x:v>AT-022</x:v>
      </x:c>
      <x:c r="I21" s="30" t="str">
        <x:v>TRACEABLE</x:v>
      </x:c>
      <x:c r="J21" s="30" t="str">
        <x:v>None</x:v>
      </x:c>
    </x:row>
    <x:row r="22">
      <x:c r="A22" s="28" t="str">
        <x:v>RQ-CAP-001</x:v>
      </x:c>
      <x:c r="B22" s="28" t="str">
        <x:v>Capabilities</x:v>
      </x:c>
      <x:c r="C22" s="28" t="str">
        <x:v>MCP is discovery-required until evidence exists</x:v>
      </x:c>
      <x:c r="D22" s="28" t="str">
        <x:v>User amendment + new Manago MCP</x:v>
      </x:c>
      <x:c r="E22" s="28" t="str">
        <x:v>Capability Matrix v1.1</x:v>
      </x:c>
      <x:c r="F22" s="28" t="str">
        <x:v>capability_record.schema.json</x:v>
      </x:c>
      <x:c r="G22" s="28" t="str">
        <x:v>BL-006–007</x:v>
      </x:c>
      <x:c r="H22" s="28" t="str">
        <x:v>AT-008–010</x:v>
      </x:c>
      <x:c r="I22" s="28" t="str">
        <x:v>TRACEABLE</x:v>
      </x:c>
      <x:c r="J22" s="28" t="str">
        <x:v>External verification remains pending</x:v>
      </x:c>
    </x:row>
    <x:row r="23">
      <x:c r="A23" s="30" t="str">
        <x:v>RQ-CAP-002</x:v>
      </x:c>
      <x:c r="B23" s="30" t="str">
        <x:v>Capabilities</x:v>
      </x:c>
      <x:c r="C23" s="30" t="str">
        <x:v>Every core pilot has confirmed or human fallback</x:v>
      </x:c>
      <x:c r="D23" s="30" t="str">
        <x:v>Manago capabilities/agent docs</x:v>
      </x:c>
      <x:c r="E23" s="30" t="str">
        <x:v>Capability Matrix v1.1 · 05</x:v>
      </x:c>
      <x:c r="F23" s="30" t="str">
        <x:v>workflow blueprint capability_dependencies</x:v>
      </x:c>
      <x:c r="G23" s="30" t="str">
        <x:v>BL-006/016</x:v>
      </x:c>
      <x:c r="H23" s="30" t="str">
        <x:v>AT-008</x:v>
      </x:c>
      <x:c r="I23" s="30" t="str">
        <x:v>TRACEABLE</x:v>
      </x:c>
      <x:c r="J23" s="30" t="str">
        <x:v>MCP write path remains external</x:v>
      </x:c>
    </x:row>
    <x:row r="24">
      <x:c r="A24" s="28" t="str">
        <x:v>RQ-SAFE-001</x:v>
      </x:c>
      <x:c r="B24" s="28" t="str">
        <x:v>Safety</x:v>
      </x:c>
      <x:c r="C24" s="28" t="str">
        <x:v>Side effects require scoped approval and idempotency</x:v>
      </x:c>
      <x:c r="D24" s="28" t="str">
        <x:v>Orchestration v1.3 · 05</x:v>
      </x:c>
      <x:c r="E24" s="28" t="str">
        <x:v>Orchestration v1.4.1 · 08/09</x:v>
      </x:c>
      <x:c r="F24" s="28" t="str">
        <x:v>approval_token + orchestration_task</x:v>
      </x:c>
      <x:c r="G24" s="28" t="str">
        <x:v>BL-017</x:v>
      </x:c>
      <x:c r="H24" s="28" t="str">
        <x:v>AT-015–016</x:v>
      </x:c>
      <x:c r="I24" s="28" t="str">
        <x:v>TRACEABLE</x:v>
      </x:c>
      <x:c r="J24" s="28" t="str">
        <x:v>None</x:v>
      </x:c>
    </x:row>
    <x:row r="25">
      <x:c r="A25" s="30" t="str">
        <x:v>RQ-QA-001</x:v>
      </x:c>
      <x:c r="B25" s="30" t="str">
        <x:v>QA</x:v>
      </x:c>
      <x:c r="C25" s="30" t="str">
        <x:v>Specification validation must not be reported as backend PASS</x:v>
      </x:c>
      <x:c r="D25" s="30" t="str">
        <x:v>Corrective audit finding</x:v>
      </x:c>
      <x:c r="E25" s="30" t="str">
        <x:v>Acceptance Matrix v1.2</x:v>
      </x:c>
      <x:c r="F25" s="30" t="str">
        <x:v>qa_result.schema.json</x:v>
      </x:c>
      <x:c r="G25" s="30" t="str">
        <x:v>BL-018</x:v>
      </x:c>
      <x:c r="H25" s="30" t="str">
        <x:v>AT-001–030</x:v>
      </x:c>
      <x:c r="I25" s="30" t="str">
        <x:v>TRACEABLE</x:v>
      </x:c>
      <x:c r="J25" s="30" t="str">
        <x:v>Backend remains NOT_RUN</x:v>
      </x:c>
    </x:row>
    <x:row r="26">
      <x:c r="A26" s="28" t="str">
        <x:v>RQ-HANDOFF-001</x:v>
      </x:c>
      <x:c r="B26" s="28" t="str">
        <x:v>Handoff</x:v>
      </x:c>
      <x:c r="C26" s="28" t="str">
        <x:v>Signed handoff references QA, approval, artifacts and manifest hash</x:v>
      </x:c>
      <x:c r="D26" s="28" t="str">
        <x:v>Orchestration v1.3 Wave 6</x:v>
      </x:c>
      <x:c r="E26" s="28" t="str">
        <x:v>Orchestration v1.4.1 · 07/09</x:v>
      </x:c>
      <x:c r="F26" s="28" t="str">
        <x:v>handoff_package.schema.json</x:v>
      </x:c>
      <x:c r="G26" s="28" t="str">
        <x:v>BL-020–021</x:v>
      </x:c>
      <x:c r="H26" s="28" t="str">
        <x:v>AT-028</x:v>
      </x:c>
      <x:c r="I26" s="28" t="str">
        <x:v>TRACEABLE</x:v>
      </x:c>
      <x:c r="J26" s="28" t="str">
        <x:v>Backend not run</x:v>
      </x:c>
    </x:row>
    <x:row r="27">
      <x:c r="A27" s="31" t="str">
        <x:v>RQ-PACK-001</x:v>
      </x:c>
      <x:c r="B27" s="31" t="str">
        <x:v>Package</x:v>
      </x:c>
      <x:c r="C27" s="31" t="str">
        <x:v>Every release requirement maps to a spec, contract, backlog and test</x:v>
      </x:c>
      <x:c r="D27" s="31" t="str">
        <x:v>Corrective audit commitment</x:v>
      </x:c>
      <x:c r="E27" s="31" t="str">
        <x:v>Requirements Traceability Matrix</x:v>
      </x:c>
      <x:c r="F27" s="31" t="str">
        <x:v>manifest + QA report</x:v>
      </x:c>
      <x:c r="G27" s="31" t="str">
        <x:v>BL-021</x:v>
      </x:c>
      <x:c r="H27" s="31" t="str">
        <x:v>AT-030</x:v>
      </x:c>
      <x:c r="I27" s="31" t="str">
        <x:v>TRACEABLE</x:v>
      </x:c>
      <x:c r="J27" s="31" t="str">
        <x:v>External MCP is explicitly residual</x:v>
      </x:c>
    </x:row>
  </x:sheetData>
  <x:mergeCells>
    <x:mergeCell ref="A1:J1"/>
    <x:mergeCell ref="A2:J2"/>
    <x:mergeCell ref="A3:J3"/>
  </x:mergeCells>
  <x:dataValidations count="1">
    <x:dataValidation type="list" sqref="I6:I200">
      <x:formula1>"TRACEABLE,OPEN,BLOCKED,FAILED"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58" hidden="0" customWidth="1"/>
    <x:col min="4" max="4" width="52" hidden="0" customWidth="1"/>
    <x:col min="5" max="5" width="62" hidden="0" customWidth="1"/>
    <x:col min="6" max="6" width="24" hidden="0" customWidth="1"/>
    <x:col min="7" max="7" width="48" hidden="0" customWidth="1"/>
    <x:col min="8" max="8" width="16" hidden="0" customWidth="1"/>
  </x:cols>
  <x:sheetData>
    <x:row r="1" ht="34" customHeight="1">
      <x:c r="A1" s="3" t="str">
        <x:v>Corrective Defect Log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Defects found during the traceability audit; closure requires changed artifact plus regression test</x:v>
      </x:c>
      <x:c r="B2" s="6"/>
      <x:c r="C2" s="6"/>
      <x:c r="D2" s="6"/>
      <x:c r="E2" s="6"/>
      <x:c r="F2" s="6"/>
      <x:c r="G2" s="6"/>
      <x:c r="H2" s="6"/>
    </x:row>
    <x:row r="3" ht="28" customHeight="1">
      <x:c r="A3" s="9" t="str">
        <x:v>Klints · MVP1 build contract · v1.4.1 · 18 July 2026</x:v>
      </x:c>
      <x:c r="B3" s="9"/>
      <x:c r="C3" s="9"/>
      <x:c r="D3" s="9"/>
      <x:c r="E3" s="9"/>
      <x:c r="F3" s="9"/>
      <x:c r="G3" s="9"/>
      <x:c r="H3" s="9"/>
    </x:row>
    <x:row r="5" ht="30" customHeight="1">
      <x:c r="A5" s="17" t="str">
        <x:v>Defect ID</x:v>
      </x:c>
      <x:c r="B5" s="18" t="str">
        <x:v>Severity</x:v>
      </x:c>
      <x:c r="C5" s="18" t="str">
        <x:v>Finding</x:v>
      </x:c>
      <x:c r="D5" s="18" t="str">
        <x:v>Root Cause</x:v>
      </x:c>
      <x:c r="E5" s="18" t="str">
        <x:v>Correction</x:v>
      </x:c>
      <x:c r="F5" s="18" t="str">
        <x:v>Regression Test</x:v>
      </x:c>
      <x:c r="G5" s="18" t="str">
        <x:v>Changed Artifacts</x:v>
      </x:c>
      <x:c r="H5" s="19" t="str">
        <x:v>Status</x:v>
      </x:c>
    </x:row>
    <x:row r="6">
      <x:c r="A6" s="27" t="str">
        <x:v>DEF-001</x:v>
      </x:c>
      <x:c r="B6" s="27" t="str">
        <x:v>P0</x:v>
      </x:c>
      <x:c r="C6" s="27" t="str">
        <x:v>Downloadable PDF requirement existed only as product text, not an executable task/contract</x:v>
      </x:c>
      <x:c r="D6" s="27" t="str">
        <x:v>Traceability stopped at workbook presence</x:v>
      </x:c>
      <x:c r="E6" s="27" t="str">
        <x:v>Added REPORT/EXPORT tasks, report sheet, schema, OpenAPI, backlog, fixtures and tests</x:v>
      </x:c>
      <x:c r="F6" s="27" t="str">
        <x:v>AT-020–027</x:v>
      </x:c>
      <x:c r="G6" s="27" t="str">
        <x:v>Orchestration, schemas, backlog, tests, Blueprint, README</x:v>
      </x:c>
      <x:c r="H6" s="27" t="str">
        <x:v>CLOSED</x:v>
      </x:c>
    </x:row>
    <x:row r="7">
      <x:c r="A7" s="30" t="str">
        <x:v>DEF-002</x:v>
      </x:c>
      <x:c r="B7" s="30" t="str">
        <x:v>P0</x:v>
      </x:c>
      <x:c r="C7" s="30" t="str">
        <x:v>v1.4 contained a priority formula conflicting with v1.3</x:v>
      </x:c>
      <x:c r="D7" s="30" t="str">
        <x:v>New algorithm invented a second normalized model</x:v>
      </x:c>
      <x:c r="E7" s="30" t="str">
        <x:v>Restored canonical four-factor 0–3 formula end to end</x:v>
      </x:c>
      <x:c r="F7" s="30" t="str">
        <x:v>AT-012</x:v>
      </x:c>
      <x:c r="G7" s="30" t="str">
        <x:v>Orchestration, task schema, Blueprint</x:v>
      </x:c>
      <x:c r="H7" s="30" t="str">
        <x:v>CLOSED</x:v>
      </x:c>
    </x:row>
    <x:row r="8">
      <x:c r="A8" s="28" t="str">
        <x:v>DEF-003</x:v>
      </x:c>
      <x:c r="B8" s="28" t="str">
        <x:v>P0</x:v>
      </x:c>
      <x:c r="C8" s="28" t="str">
        <x:v>Acceptance matrix used PASS before backend execution</x:v>
      </x:c>
      <x:c r="D8" s="28" t="str">
        <x:v>Specification and implementation evidence were conflated</x:v>
      </x:c>
      <x:c r="E8" s="28" t="str">
        <x:v>Split Specification Status from Backend Status; all backend tests start NOT_RUN</x:v>
      </x:c>
      <x:c r="F8" s="28" t="str">
        <x:v>AT-001–030</x:v>
      </x:c>
      <x:c r="G8" s="28" t="str">
        <x:v>Acceptance Matrix, QA report, Blueprint</x:v>
      </x:c>
      <x:c r="H8" s="28" t="str">
        <x:v>CLOSED</x:v>
      </x:c>
    </x:row>
    <x:row r="9">
      <x:c r="A9" s="30" t="str">
        <x:v>DEF-004</x:v>
      </x:c>
      <x:c r="B9" s="30" t="str">
        <x:v>P0</x:v>
      </x:c>
      <x:c r="C9" s="30" t="str">
        <x:v>12 gating Check IDs used by pilots were outside exact 42 scope</x:v>
      </x:c>
      <x:c r="D9" s="30" t="str">
        <x:v>Headline score scope was treated as complete executable gate registry</x:v>
      </x:c>
      <x:c r="E9" s="30" t="str">
        <x:v>Added explicit on-demand supplemental gate registry without changing headline score</x:v>
      </x:c>
      <x:c r="F9" s="30" t="str">
        <x:v>AT-004</x:v>
      </x:c>
      <x:c r="G9" s="30" t="str">
        <x:v>DCS workbook, backlog, README, manifest</x:v>
      </x:c>
      <x:c r="H9" s="30" t="str">
        <x:v>CLOSED</x:v>
      </x:c>
    </x:row>
    <x:row r="10">
      <x:c r="A10" s="28" t="str">
        <x:v>DEF-005</x:v>
      </x:c>
      <x:c r="B10" s="28" t="str">
        <x:v>P1</x:v>
      </x:c>
      <x:c r="C10" s="28" t="str">
        <x:v>Lumera task rows 2–6 were blank in exported workbook</x:v>
      </x:c>
      <x:c r="D10" s="28" t="str">
        <x:v>Legacy merged cells overlapped the new table</x:v>
      </x:c>
      <x:c r="E10" s="28" t="str">
        <x:v>Unmerged cells and rebuilt full worked example including reports</x:v>
      </x:c>
      <x:c r="F10" s="28" t="str">
        <x:v>AT-014/028</x:v>
      </x:c>
      <x:c r="G10" s="28" t="str">
        <x:v>Orchestration workbook</x:v>
      </x:c>
      <x:c r="H10" s="28" t="str">
        <x:v>CLOSED</x:v>
      </x:c>
    </x:row>
    <x:row r="11">
      <x:c r="A11" s="30" t="str">
        <x:v>DEF-006</x:v>
      </x:c>
      <x:c r="B11" s="30" t="str">
        <x:v>P1</x:v>
      </x:c>
      <x:c r="C11" s="30" t="str">
        <x:v>Wave formula forced every dependency into a later wave and could overflow 0–6</x:v>
      </x:c>
      <x:c r="D11" s="30" t="str">
        <x:v>Dependency order and stage floor were conflated</x:v>
      </x:c>
      <x:c r="E11" s="30" t="str">
        <x:v>Use type floor plus topological ordering within the same wave</x:v>
      </x:c>
      <x:c r="F11" s="30" t="str">
        <x:v>AT-014</x:v>
      </x:c>
      <x:c r="G11" s="30" t="str">
        <x:v>Orchestration workbook, Blueprint</x:v>
      </x:c>
      <x:c r="H11" s="30" t="str">
        <x:v>CLOSED</x:v>
      </x:c>
    </x:row>
    <x:row r="12">
      <x:c r="A12" s="28" t="str">
        <x:v>DEF-007</x:v>
      </x:c>
      <x:c r="B12" s="28" t="str">
        <x:v>P1</x:v>
      </x:c>
      <x:c r="C12" s="28" t="str">
        <x:v>Blueprint data_contract.required_fields contained Check IDs, not fields</x:v>
      </x:c>
      <x:c r="D12" s="28" t="str">
        <x:v>Generator reused the gating array</x:v>
      </x:c>
      <x:c r="E12" s="28" t="str">
        <x:v>Replaced with use-case-specific canonical field names</x:v>
      </x:c>
      <x:c r="F12" s="28" t="str">
        <x:v>AT-002</x:v>
      </x:c>
      <x:c r="G12" s="28" t="str">
        <x:v>16 blueprint JSON files</x:v>
      </x:c>
      <x:c r="H12" s="28" t="str">
        <x:v>CLOSED</x:v>
      </x:c>
    </x:row>
    <x:row r="13">
      <x:c r="A13" s="31" t="str">
        <x:v>DEF-008</x:v>
      </x:c>
      <x:c r="B13" s="31" t="str">
        <x:v>P1</x:v>
      </x:c>
      <x:c r="C13" s="31" t="str">
        <x:v>Referenced runtime objects lacked machine schemas (DCS run, capability, approval, QA, handoff)</x:v>
      </x:c>
      <x:c r="D13" s="31" t="str">
        <x:v>Original contract set covered only seven objects</x:v>
      </x:c>
      <x:c r="E13" s="31" t="str">
        <x:v>Added six missing schemas; total is now 13</x:v>
      </x:c>
      <x:c r="F13" s="31" t="str">
        <x:v>AT-001</x:v>
      </x:c>
      <x:c r="G13" s="31" t="str">
        <x:v>Machine Contracts, Blueprint, README</x:v>
      </x:c>
      <x:c r="H13" s="31" t="str">
        <x:v>CLOSED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