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4080bdde4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Overview" sheetId="1" r:id="R506fe2ae73fd4048"/>
    <x:sheet xmlns:r="http://schemas.openxmlformats.org/officeDocument/2006/relationships" name="02 Check Catalogue" sheetId="2" r:id="R17b75364295e4213"/>
    <x:sheet xmlns:r="http://schemas.openxmlformats.org/officeDocument/2006/relationships" name="03 Root Cause Taxonomy" sheetId="3" r:id="R3056f62477b44069"/>
    <x:sheet xmlns:r="http://schemas.openxmlformats.org/officeDocument/2006/relationships" name="04 Coverage Matrix" sheetId="4" r:id="R22b0a38aaf9c49b8"/>
    <x:sheet xmlns:r="http://schemas.openxmlformats.org/officeDocument/2006/relationships" name="05 Initial Connect Runbook" sheetId="5" r:id="Refdc94a35b8b4ee4"/>
    <x:sheet xmlns:r="http://schemas.openxmlformats.org/officeDocument/2006/relationships" name="06 Field Mapping Reference" sheetId="6" r:id="Rb8717ae2e2274ff1"/>
    <x:sheet xmlns:r="http://schemas.openxmlformats.org/officeDocument/2006/relationships" name="07 Scoring Model" sheetId="7" r:id="R7abcfe57b3a44bb5"/>
    <x:sheet xmlns:r="http://schemas.openxmlformats.org/officeDocument/2006/relationships" name="08 Score Assembly" sheetId="8" r:id="R7be1ceb0266f428f"/>
    <x:sheet xmlns:r="http://schemas.openxmlformats.org/officeDocument/2006/relationships" name="09 MVP1 Check Scope" sheetId="9" r:id="Rf1693392eba94c9f"/>
    <x:sheet xmlns:r="http://schemas.openxmlformats.org/officeDocument/2006/relationships" name="10 Lumera Scoring Example" sheetId="10" r:id="R94a67bbebb424eab"/>
    <x:sheet xmlns:r="http://schemas.openxmlformats.org/officeDocument/2006/relationships" name="11 Pilot Supplemental Gates" sheetId="11" r:id="R334b8836caa4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General"/>
    <x:numFmt numFmtId="200" formatCode="0"/>
    <x:numFmt numFmtId="201" formatCode="0.0"/>
    <x:numFmt numFmtId="202" formatCode="0.0%"/>
  </x:numFmts>
  <x:fonts count="2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6161A"/>
      <x:name val="Inter"/>
    </x:font>
    <x:font>
      <x:sz val="10"/>
      <x:color rgb="FF1F3A5F"/>
      <x:name val="Inter"/>
    </x:font>
    <x:font>
      <x:sz val="9"/>
      <x:color rgb="FF9C9A92"/>
      <x:name val="Inter"/>
    </x:font>
    <x:font>
      <x:sz val="8"/>
      <x:color rgb="FF9C9A92"/>
      <x:name val="Inter"/>
    </x:font>
    <x:font>
      <x:b/>
      <x:sz val="9"/>
      <x:color rgb="FF1F3A5F"/>
      <x:name val="Inter"/>
    </x:font>
    <x:font>
      <x:b/>
      <x:sz val="9"/>
      <x:color rgb="FF16161A"/>
      <x:name val="Inter"/>
    </x:font>
    <x:font>
      <x:sz val="9"/>
      <x:color rgb="FF16161A"/>
      <x:name val="Inter"/>
    </x:font>
    <x:font>
      <x:b/>
      <x:sz val="9"/>
      <x:color rgb="FFFFFFFF"/>
      <x:name val="Inter"/>
    </x:font>
    <x:font>
      <x:sz val="8"/>
      <x:color rgb="FF1F3A5F"/>
      <x:name val="JetBrains Mono"/>
    </x:font>
    <x:font>
      <x:sz val="9"/>
      <x:color rgb="FF1F3A5F"/>
      <x:name val="JetBrains Mono"/>
    </x:font>
    <x:font>
      <x:sz val="9"/>
      <x:color rgb="FFFFFFFF"/>
      <x:name val="Inter"/>
    </x:font>
    <x:font>
      <x:i/>
      <x:sz val="8"/>
      <x:color rgb="FF9C9A92"/>
      <x:name val="Inter"/>
    </x:font>
    <x:font>
      <x:sz val="8"/>
      <x:color rgb="FF16161A"/>
      <x:name val="JetBrains Mono"/>
    </x:font>
    <x:font>
      <x:b/>
      <x:sz val="16"/>
      <x:color rgb="FFFFFFFF"/>
      <x:name val="Calibri"/>
    </x:font>
    <x:font>
      <x:i/>
      <x:sz val="10"/>
      <x:color rgb="FF172033"/>
      <x:name val="Calibri"/>
    </x:font>
    <x:font>
      <x:sz val="9"/>
      <x:color rgb="FF5B6472"/>
      <x:name val="Calibri"/>
    </x:font>
    <x:font>
      <x:b/>
      <x:sz val="10"/>
      <x:color rgb="FFFFFFFF"/>
      <x:name val="Calibri"/>
    </x:font>
    <x:font>
      <x:sz val="9"/>
      <x:color rgb="FF172033"/>
      <x:name val="Calibri"/>
    </x:font>
    <x:font>
      <x:b/>
      <x:sz val="11"/>
      <x:color rgb="FFFFFFFF"/>
      <x:name val="Calibri"/>
    </x:font>
    <x:font>
      <x:b/>
      <x:sz val="9"/>
      <x:color rgb="FF16161A"/>
      <x:name val="JetBrains Mono"/>
    </x:font>
    <x:font>
      <x:i/>
      <x:sz val="10"/>
      <x:color rgb="FF1F3A5F"/>
      <x:name val="Calibri"/>
    </x:font>
    <x:font>
      <x:sz val="9"/>
      <x:color rgb="FF9C9A92"/>
      <x:name val="Calibri"/>
    </x:font>
    <x:font>
      <x:b/>
      <x:sz val="9"/>
      <x:color rgb="FFFFFFFF"/>
      <x:name val="Calibri"/>
    </x:font>
    <x:font>
      <x:sz val="9"/>
      <x:color rgb="FF16161A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E8E4D9"/>
      </x:patternFill>
    </x:fill>
    <x:fill>
      <x:patternFill patternType="solid">
        <x:fgColor rgb="FF16161A"/>
      </x:patternFill>
    </x:fill>
    <x:fill>
      <x:patternFill patternType="solid">
        <x:fgColor rgb="FFF5F2EB"/>
      </x:patternFill>
    </x:fill>
    <x:fill>
      <x:patternFill patternType="solid">
        <x:fgColor rgb="FF1F3A5F"/>
      </x:patternFill>
    </x:fill>
    <x:fill>
      <x:patternFill patternType="solid">
        <x:fgColor rgb="FFB91C1C"/>
      </x:patternFill>
    </x:fill>
    <x:fill>
      <x:patternFill patternType="solid">
        <x:fgColor rgb="FFD97706"/>
      </x:patternFill>
    </x:fill>
    <x:fill>
      <x:patternFill patternType="solid">
        <x:fgColor rgb="FF162033"/>
      </x:patternFill>
    </x:fill>
    <x:fill>
      <x:patternFill patternType="solid">
        <x:fgColor rgb="FFEAF0FF"/>
      </x:patternFill>
    </x:fill>
    <x:fill>
      <x:patternFill patternType="solid">
        <x:fgColor rgb="FFF4F7FB"/>
      </x:patternFill>
    </x:fill>
    <x:fill>
      <x:patternFill patternType="solid">
        <x:fgColor rgb="FF0F766E"/>
      </x:patternFill>
    </x:fill>
    <x:fill>
      <x:patternFill patternType="solid">
        <x:fgColor rgb="FFF5F2EB"/>
      </x:patternFill>
    </x:fill>
    <x:fill>
      <x:patternFill patternType="solid">
        <x:fgColor rgb="FF16161A"/>
      </x:patternFill>
    </x:fill>
    <x:fill>
      <x:patternFill patternType="solid">
        <x:fgColor rgb="FFF7F6F2"/>
      </x:patternFill>
    </x:fill>
  </x:fills>
  <x:borders count="15">
    <x:border diagonalUp="0" diagonalDown="0"/>
    <x:border diagonalUp="0" diagonalDown="0">
      <x:left style="thin">
        <x:color rgb="FFE8E4D9"/>
      </x:left>
      <x:right style="thin">
        <x:color rgb="FFE8E4D9"/>
      </x:right>
      <x:top style="thin">
        <x:color rgb="FFE8E4D9"/>
      </x:top>
      <x:bottom style="thin">
        <x:color rgb="FFE8E4D9"/>
      </x:bottom>
    </x:border>
    <x:border diagonalUp="0" diagonalDown="0">
      <x:left style="thin">
        <x:color rgb="FFE8E4D9"/>
      </x:left>
      <x:right style="thin">
        <x:color rgb="FFE8E4D9"/>
      </x:right>
      <x:top style="thin">
        <x:color rgb="FFE8E4D9"/>
      </x:top>
      <x:bottom style="medium">
        <x:color rgb="FF16161A"/>
      </x:bottom>
    </x:border>
    <x:border diagonalUp="0" diagonalDown="0">
      <x:left style="thin">
        <x:color rgb="FF162033"/>
      </x:left>
      <x:top style="thin">
        <x:color rgb="FF162033"/>
      </x:top>
      <x:bottom style="thin">
        <x:color rgb="FF162033"/>
      </x:bottom>
    </x:border>
    <x:border diagonalUp="0" diagonalDown="0">
      <x:top style="thin">
        <x:color rgb="FF162033"/>
      </x:top>
      <x:bottom style="thin">
        <x:color rgb="FF162033"/>
      </x:bottom>
    </x:border>
    <x:border diagonalUp="0" diagonalDown="0">
      <x:right style="thin">
        <x:color rgb="FF162033"/>
      </x:right>
      <x:top style="thin">
        <x:color rgb="FF162033"/>
      </x:top>
      <x:bottom style="thin">
        <x:color rgb="FF162033"/>
      </x:bottom>
    </x:border>
    <x:border diagonalUp="0" diagonalDown="0">
      <x:bottom style="thin">
        <x:color rgb="FFD8E0EA"/>
      </x:bottom>
    </x:border>
    <x:border diagonalUp="0" diagonalDown="0">
      <x:top style="thin">
        <x:color rgb="FFD8E0EA"/>
      </x:top>
      <x:bottom style="thin">
        <x:color rgb="FFD8E0EA"/>
      </x:bottom>
    </x:border>
    <x:border diagonalUp="0" diagonalDown="0">
      <x:top style="thin">
        <x:color rgb="FFD8E0EA"/>
      </x:top>
    </x:border>
    <x:border diagonalUp="0" diagonalDown="0">
      <x:left style="thin">
        <x:color rgb="FF16161A"/>
      </x:left>
      <x:top style="thin">
        <x:color rgb="FF16161A"/>
      </x:top>
      <x:bottom style="thin">
        <x:color rgb="FF16161A"/>
      </x:bottom>
    </x:border>
    <x:border diagonalUp="0" diagonalDown="0">
      <x:top style="thin">
        <x:color rgb="FF16161A"/>
      </x:top>
      <x:bottom style="thin">
        <x:color rgb="FF16161A"/>
      </x:bottom>
    </x:border>
    <x:border diagonalUp="0" diagonalDown="0">
      <x:right style="thin">
        <x:color rgb="FF16161A"/>
      </x:right>
      <x:top style="thin">
        <x:color rgb="FF16161A"/>
      </x:top>
      <x:bottom style="thin">
        <x:color rgb="FF16161A"/>
      </x:bottom>
    </x:border>
    <x:border diagonalUp="0" diagonalDown="0">
      <x:bottom style="thin">
        <x:color rgb="FFE8E4D9"/>
      </x:bottom>
    </x:border>
    <x:border diagonalUp="0" diagonalDown="0">
      <x:top style="thin">
        <x:color rgb="FFE8E4D9"/>
      </x:top>
      <x:bottom style="thin">
        <x:color rgb="FFE8E4D9"/>
      </x:bottom>
    </x:border>
    <x:border diagonalUp="0" diagonalDown="0">
      <x:top style="thin">
        <x:color rgb="FFE8E4D9"/>
      </x:top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6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2" borderId="1" xfId="0" applyFont="1" applyBorder="1" applyAlignment="0">
      <x:alignment horizontal="general" vertical="bottom" wrapText="0"/>
    </x:xf>
    <x:xf numFmtId="164" fontId="0" fillId="2" borderId="1" xfId="0" applyFont="0" applyBorder="1" applyAlignment="0">
      <x:alignment horizontal="general" vertical="bottom" wrapText="0"/>
    </x:xf>
    <x:xf numFmtId="164" fontId="9" fillId="0" borderId="1" xfId="0" applyFont="1" applyBorder="1" applyAlignment="1">
      <x:alignment horizontal="general" vertical="top" wrapText="1"/>
    </x:xf>
    <x:xf numFmtId="164" fontId="10" fillId="0" borderId="1" xfId="0" applyFont="1" applyBorder="1" applyAlignment="1">
      <x:alignment horizontal="general" vertical="top" wrapText="1"/>
    </x:xf>
    <x:xf numFmtId="164" fontId="11" fillId="3" borderId="2" xfId="0" applyFont="1" applyBorder="1" applyAlignment="1">
      <x:alignment horizontal="general" vertical="center" wrapText="1"/>
    </x:xf>
    <x:xf numFmtId="164" fontId="10" fillId="4" borderId="1" xfId="0" applyFont="1" applyBorder="1" applyAlignment="0">
      <x:alignment horizontal="general" vertical="bottom" wrapText="0"/>
    </x:xf>
    <x:xf numFmtId="164" fontId="10" fillId="0" borderId="1" xfId="0" applyFont="1" applyBorder="1" applyAlignment="0">
      <x:alignment horizontal="general" vertical="bottom" wrapText="0"/>
    </x:xf>
    <x:xf numFmtId="164" fontId="11" fillId="5" borderId="1" xfId="0" applyFont="1" applyBorder="1" applyAlignment="0">
      <x:alignment horizontal="general" vertical="bottom" wrapText="0"/>
    </x:xf>
    <x:xf numFmtId="164" fontId="10" fillId="0" borderId="0" xfId="0" applyFont="1" applyBorder="1" applyAlignment="1">
      <x:alignment horizontal="general" vertical="top" wrapText="1"/>
    </x:xf>
    <x:xf numFmtId="164" fontId="12" fillId="0" borderId="1" xfId="0" applyFont="1" applyBorder="1" applyAlignment="1">
      <x:alignment horizontal="general" vertical="top" wrapText="1"/>
    </x:xf>
    <x:xf numFmtId="164" fontId="12" fillId="4" borderId="1" xfId="0" applyFont="1" applyBorder="1" applyAlignment="1">
      <x:alignment horizontal="general" vertical="top" wrapText="1"/>
    </x:xf>
    <x:xf numFmtId="164" fontId="10" fillId="4" borderId="1" xfId="0" applyFont="1" applyBorder="1" applyAlignment="1">
      <x:alignment horizontal="general" vertical="top" wrapText="1"/>
    </x:xf>
    <x:xf numFmtId="164" fontId="8" fillId="4" borderId="1" xfId="0" applyFont="1" applyBorder="1" applyAlignment="0">
      <x:alignment horizontal="general" vertical="bottom" wrapText="0"/>
    </x:xf>
    <x:xf numFmtId="164" fontId="8" fillId="0" borderId="1" xfId="0" applyFont="1" applyBorder="1" applyAlignment="0">
      <x:alignment horizontal="general" vertical="bottom" wrapText="0"/>
    </x:xf>
    <x:xf numFmtId="164" fontId="13" fillId="0" borderId="1" xfId="0" applyFont="1" applyBorder="1" applyAlignment="1">
      <x:alignment horizontal="general" vertical="top" wrapText="1"/>
    </x:xf>
    <x:xf numFmtId="164" fontId="11" fillId="6" borderId="1" xfId="0" applyFont="1" applyBorder="1" applyAlignment="1">
      <x:alignment horizontal="center" vertical="top" wrapText="1"/>
    </x:xf>
    <x:xf numFmtId="164" fontId="10" fillId="0" borderId="1" xfId="0" applyFont="1" applyBorder="1" applyAlignment="1">
      <x:alignment horizontal="center" vertical="top" wrapText="1"/>
    </x:xf>
    <x:xf numFmtId="164" fontId="13" fillId="4" borderId="1" xfId="0" applyFont="1" applyBorder="1" applyAlignment="1">
      <x:alignment horizontal="general" vertical="top" wrapText="1"/>
    </x:xf>
    <x:xf numFmtId="164" fontId="10" fillId="4" borderId="1" xfId="0" applyFont="1" applyBorder="1" applyAlignment="1">
      <x:alignment horizontal="center" vertical="top" wrapText="1"/>
    </x:xf>
    <x:xf numFmtId="164" fontId="11" fillId="7" borderId="1" xfId="0" applyFont="1" applyBorder="1" applyAlignment="1">
      <x:alignment horizontal="center" vertical="top" wrapText="1"/>
    </x:xf>
    <x:xf numFmtId="164" fontId="14" fillId="5" borderId="1" xfId="0" applyFont="1" applyBorder="1" applyAlignment="1">
      <x:alignment horizontal="center" vertical="top" wrapText="1"/>
    </x:xf>
    <x:xf numFmtId="164" fontId="10" fillId="2" borderId="1" xfId="0" applyFont="1" applyBorder="1" applyAlignment="1">
      <x:alignment horizontal="center" vertical="top" wrapText="1"/>
    </x:xf>
    <x:xf numFmtId="164" fontId="12" fillId="4" borderId="1" xfId="0" applyFont="1" applyBorder="1" applyAlignment="1">
      <x:alignment horizontal="center" vertical="top" wrapText="1"/>
    </x:xf>
    <x:xf numFmtId="164" fontId="12" fillId="0" borderId="1" xfId="0" applyFont="1" applyBorder="1" applyAlignment="1">
      <x:alignment horizontal="center" vertical="top" wrapText="1"/>
    </x:xf>
    <x:xf numFmtId="164" fontId="9" fillId="4" borderId="1" xfId="0" applyFont="1" applyBorder="1" applyAlignment="1">
      <x:alignment horizontal="general" vertical="top" wrapText="1"/>
    </x:xf>
    <x:xf numFmtId="164" fontId="15" fillId="4" borderId="1" xfId="0" applyFont="1" applyBorder="1" applyAlignment="1">
      <x:alignment horizontal="general" vertical="top" wrapText="1"/>
    </x:xf>
    <x:xf numFmtId="164" fontId="15" fillId="0" borderId="1" xfId="0" applyFont="1" applyBorder="1" applyAlignment="1">
      <x:alignment horizontal="general" vertical="top" wrapText="1"/>
    </x:xf>
    <x:xf numFmtId="164" fontId="16" fillId="0" borderId="1" xfId="0" applyFont="1" applyBorder="1" applyAlignment="1">
      <x:alignment horizontal="general" vertical="top" wrapText="1"/>
    </x:xf>
    <x:xf numFmtId="164" fontId="16" fillId="4" borderId="1" xfId="0" applyFont="1" applyBorder="1" applyAlignment="1">
      <x:alignment horizontal="general" vertical="top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7" fillId="8" borderId="0" xfId="0" applyNumberFormat="1" applyFont="1" applyFill="1" applyBorder="1" applyAlignment="1">
      <x:alignment horizontal="general" vertical="bottom" wrapText="0"/>
    </x:xf>
    <x:xf numFmtId="164" fontId="17" fillId="8" borderId="0" xfId="0" applyNumberFormat="1" applyFont="1" applyFill="1" applyBorder="1" applyAlignment="1">
      <x:alignment horizontal="general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8" fillId="9" borderId="0" xfId="0" applyNumberFormat="1" applyFont="1" applyFill="1" applyBorder="1" applyAlignment="1">
      <x:alignment horizontal="general" vertical="bottom" wrapText="0"/>
    </x:xf>
    <x:xf numFmtId="164" fontId="18" fillId="9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9" fillId="10" borderId="0" xfId="0" applyNumberFormat="1" applyFont="1" applyFill="1" applyBorder="1" applyAlignment="1">
      <x:alignment horizontal="general" vertical="bottom" wrapText="0"/>
    </x:xf>
    <x:xf numFmtId="164" fontId="19" fillId="10" borderId="0" xfId="0" applyNumberFormat="1" applyFont="1" applyFill="1" applyBorder="1" applyAlignment="1">
      <x:alignment horizontal="general" vertical="bottom" wrapText="1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3" xfId="0" applyNumberFormat="1" applyFont="1" applyFill="1" applyBorder="1" applyAlignment="1">
      <x:alignment horizontal="general" vertical="bottom" wrapText="0"/>
    </x:xf>
    <x:xf numFmtId="164" fontId="20" fillId="8" borderId="4" xfId="0" applyNumberFormat="1" applyFont="1" applyFill="1" applyBorder="1" applyAlignment="1">
      <x:alignment horizontal="general" vertical="bottom" wrapText="0"/>
    </x:xf>
    <x:xf numFmtId="164" fontId="20" fillId="8" borderId="5" xfId="0" applyNumberFormat="1" applyFont="1" applyFill="1" applyBorder="1" applyAlignment="1">
      <x:alignment horizontal="general" vertical="bottom" wrapText="0"/>
    </x:xf>
    <x:xf numFmtId="164" fontId="20" fillId="8" borderId="3" xfId="0" applyNumberFormat="1" applyFont="1" applyFill="1" applyBorder="1" applyAlignment="1">
      <x:alignment horizontal="general" vertical="bottom" wrapText="1"/>
    </x:xf>
    <x:xf numFmtId="164" fontId="20" fillId="8" borderId="4" xfId="0" applyNumberFormat="1" applyFont="1" applyFill="1" applyBorder="1" applyAlignment="1">
      <x:alignment horizontal="general" vertical="bottom" wrapText="1"/>
    </x:xf>
    <x:xf numFmtId="164" fontId="20" fillId="8" borderId="5" xfId="0" applyNumberFormat="1" applyFont="1" applyFill="1" applyBorder="1" applyAlignment="1">
      <x:alignment horizontal="general" vertical="bottom" wrapText="1"/>
    </x:xf>
    <x:xf numFmtId="164" fontId="20" fillId="8" borderId="3" xfId="0" applyNumberFormat="1" applyFont="1" applyFill="1" applyBorder="1" applyAlignment="1">
      <x:alignment horizontal="general" vertical="center" wrapText="1"/>
    </x:xf>
    <x:xf numFmtId="164" fontId="20" fillId="8" borderId="4" xfId="0" applyNumberFormat="1" applyFont="1" applyFill="1" applyBorder="1" applyAlignment="1">
      <x:alignment horizontal="general" vertical="center" wrapText="1"/>
    </x:xf>
    <x:xf numFmtId="164" fontId="20" fillId="8" borderId="5" xfId="0" applyNumberFormat="1" applyFont="1" applyFill="1" applyBorder="1" applyAlignment="1">
      <x:alignment horizontal="general" vertical="center" wrapText="1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6" xfId="0" applyNumberFormat="1" applyFont="1" applyFill="1" applyBorder="1" applyAlignment="1">
      <x:alignment horizontal="general" vertical="bottom" wrapText="0"/>
    </x:xf>
    <x:xf numFmtId="164" fontId="21" fillId="0" borderId="6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7" xfId="0" applyNumberFormat="1" applyFont="1" applyFill="1" applyBorder="1" applyAlignment="1">
      <x:alignment horizontal="general" vertical="bottom" wrapText="0"/>
    </x:xf>
    <x:xf numFmtId="164" fontId="21" fillId="0" borderId="7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8" xfId="0" applyNumberFormat="1" applyFont="1" applyFill="1" applyBorder="1" applyAlignment="1">
      <x:alignment horizontal="general" vertical="bottom" wrapText="0"/>
    </x:xf>
    <x:xf numFmtId="164" fontId="21" fillId="0" borderId="8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6" xfId="0" applyNumberFormat="1" applyFont="1" applyFill="1" applyBorder="1" applyAlignment="1">
      <x:alignment horizontal="general" vertical="bottom" wrapText="1"/>
    </x:xf>
    <x:xf numFmtId="164" fontId="21" fillId="0" borderId="6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7" xfId="0" applyNumberFormat="1" applyFont="1" applyFill="1" applyBorder="1" applyAlignment="1">
      <x:alignment horizontal="general" vertical="bottom" wrapText="1"/>
    </x:xf>
    <x:xf numFmtId="164" fontId="21" fillId="0" borderId="7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8" xfId="0" applyNumberFormat="1" applyFont="1" applyFill="1" applyBorder="1" applyAlignment="1">
      <x:alignment horizontal="general" vertical="bottom" wrapText="1"/>
    </x:xf>
    <x:xf numFmtId="164" fontId="21" fillId="0" borderId="8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6" xfId="0" applyNumberFormat="1" applyFont="1" applyFill="1" applyBorder="1" applyAlignment="1">
      <x:alignment horizontal="general" vertical="top" wrapText="1"/>
    </x:xf>
    <x:xf numFmtId="164" fontId="21" fillId="0" borderId="6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7" xfId="0" applyNumberFormat="1" applyFont="1" applyFill="1" applyBorder="1" applyAlignment="1">
      <x:alignment horizontal="general" vertical="top" wrapText="1"/>
    </x:xf>
    <x:xf numFmtId="164" fontId="21" fillId="0" borderId="7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1" fillId="0" borderId="8" xfId="0" applyNumberFormat="1" applyFont="1" applyFill="1" applyBorder="1" applyAlignment="1">
      <x:alignment horizontal="general" vertical="top" wrapText="1"/>
    </x:xf>
    <x:xf numFmtId="164" fontId="21" fillId="0" borderId="8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0" fillId="8" borderId="4" xfId="0" applyNumberFormat="1" applyFont="1" applyFill="1" applyBorder="1" applyAlignment="1">
      <x:alignment horizontal="general" vertical="center" wrapText="1"/>
    </x:xf>
    <x:xf numFmtId="200" fontId="21" fillId="0" borderId="6" xfId="0" applyNumberFormat="1" applyFont="1" applyFill="1" applyBorder="1" applyAlignment="1">
      <x:alignment horizontal="general" vertical="top" wrapText="1"/>
    </x:xf>
    <x:xf numFmtId="200" fontId="21" fillId="0" borderId="7" xfId="0" applyNumberFormat="1" applyFont="1" applyFill="1" applyBorder="1" applyAlignment="1">
      <x:alignment horizontal="general" vertical="top" wrapText="1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2" fillId="11" borderId="0" xfId="0" applyNumberFormat="1" applyFont="1" applyFill="1" applyBorder="1" applyAlignment="1">
      <x:alignment horizontal="general" vertical="bottom" wrapText="0"/>
    </x:xf>
    <x:xf numFmtId="164" fontId="22" fillId="11" borderId="0" xfId="0" applyNumberFormat="1" applyFont="1" applyFill="1" applyBorder="1" applyAlignment="1">
      <x:alignment horizontal="general" vertical="bottom" wrapText="1"/>
    </x:xf>
    <x:xf numFmtId="164" fontId="22" fillId="8" borderId="0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164" fontId="12" fillId="12" borderId="1" xfId="0" applyNumberFormat="1" applyFont="1" applyFill="1" applyBorder="1" applyAlignment="1">
      <x:alignment horizontal="general" vertical="top" wrapText="1"/>
    </x:xf>
    <x:xf numFmtId="164" fontId="23" fillId="12" borderId="1" xfId="0" applyNumberFormat="1" applyFont="1" applyFill="1" applyBorder="1" applyAlignment="1">
      <x:alignment horizontal="general" vertical="top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7" fillId="13" borderId="0" xfId="0" applyNumberFormat="1" applyFont="1" applyFill="1" applyBorder="1" applyAlignment="1">
      <x:alignment horizontal="general" vertical="bottom" wrapText="0"/>
    </x:xf>
    <x:xf numFmtId="164" fontId="17" fillId="13" borderId="0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4" fillId="12" borderId="0" xfId="0" applyNumberFormat="1" applyFont="1" applyFill="1" applyBorder="1" applyAlignment="1">
      <x:alignment horizontal="general" vertical="bottom" wrapText="0"/>
    </x:xf>
    <x:xf numFmtId="164" fontId="24" fillId="12" borderId="0" xfId="0" applyNumberFormat="1" applyFont="1" applyFill="1" applyBorder="1" applyAlignment="1">
      <x:alignment horizontal="general" vertical="bottom" wrapText="1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5" fillId="14" borderId="0" xfId="0" applyNumberFormat="1" applyFont="1" applyFill="1" applyBorder="1" applyAlignment="1">
      <x:alignment horizontal="general" vertical="bottom" wrapText="0"/>
    </x:xf>
    <x:xf numFmtId="164" fontId="25" fillId="14" borderId="0" xfId="0" applyNumberFormat="1" applyFont="1" applyFill="1" applyBorder="1" applyAlignment="1">
      <x:alignment horizontal="general" vertical="bottom" wrapText="1"/>
    </x:xf>
    <x:xf numFmtId="164" fontId="26" fillId="13" borderId="0" xfId="0" applyNumberFormat="1" applyFont="1" applyFill="1" applyBorder="1" applyAlignment="1">
      <x:alignment horizontal="general" vertical="bottom" wrapText="0"/>
    </x:xf>
    <x:xf numFmtId="164" fontId="26" fillId="13" borderId="9" xfId="0" applyNumberFormat="1" applyFont="1" applyFill="1" applyBorder="1" applyAlignment="1">
      <x:alignment horizontal="general" vertical="bottom" wrapText="0"/>
    </x:xf>
    <x:xf numFmtId="164" fontId="26" fillId="13" borderId="10" xfId="0" applyNumberFormat="1" applyFont="1" applyFill="1" applyBorder="1" applyAlignment="1">
      <x:alignment horizontal="general" vertical="bottom" wrapText="0"/>
    </x:xf>
    <x:xf numFmtId="164" fontId="26" fillId="13" borderId="11" xfId="0" applyNumberFormat="1" applyFont="1" applyFill="1" applyBorder="1" applyAlignment="1">
      <x:alignment horizontal="general" vertical="bottom" wrapText="0"/>
    </x:xf>
    <x:xf numFmtId="164" fontId="26" fillId="13" borderId="9" xfId="0" applyNumberFormat="1" applyFont="1" applyFill="1" applyBorder="1" applyAlignment="1">
      <x:alignment horizontal="general" vertical="bottom" wrapText="1"/>
    </x:xf>
    <x:xf numFmtId="164" fontId="26" fillId="13" borderId="10" xfId="0" applyNumberFormat="1" applyFont="1" applyFill="1" applyBorder="1" applyAlignment="1">
      <x:alignment horizontal="general" vertical="bottom" wrapText="1"/>
    </x:xf>
    <x:xf numFmtId="164" fontId="26" fillId="13" borderId="11" xfId="0" applyNumberFormat="1" applyFont="1" applyFill="1" applyBorder="1" applyAlignment="1">
      <x:alignment horizontal="general" vertical="bottom" wrapText="1"/>
    </x:xf>
    <x:xf numFmtId="164" fontId="26" fillId="13" borderId="9" xfId="0" applyNumberFormat="1" applyFont="1" applyFill="1" applyBorder="1" applyAlignment="1">
      <x:alignment horizontal="general" vertical="center" wrapText="1"/>
    </x:xf>
    <x:xf numFmtId="164" fontId="26" fillId="13" borderId="10" xfId="0" applyNumberFormat="1" applyFont="1" applyFill="1" applyBorder="1" applyAlignment="1">
      <x:alignment horizontal="general" vertical="center" wrapText="1"/>
    </x:xf>
    <x:xf numFmtId="164" fontId="26" fillId="13" borderId="11" xfId="0" applyNumberFormat="1" applyFont="1" applyFill="1" applyBorder="1" applyAlignment="1">
      <x:alignment horizontal="general" vertical="center" wrapText="1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27" fillId="0" borderId="12" xfId="0" applyNumberFormat="1" applyFont="1" applyFill="1" applyBorder="1" applyAlignment="1">
      <x:alignment horizontal="general" vertical="bottom" wrapText="0"/>
    </x:xf>
    <x:xf numFmtId="164" fontId="27" fillId="0" borderId="13" xfId="0" applyNumberFormat="1" applyFont="1" applyFill="1" applyBorder="1" applyAlignment="1">
      <x:alignment horizontal="general" vertical="bottom" wrapText="0"/>
    </x:xf>
    <x:xf numFmtId="164" fontId="27" fillId="0" borderId="14" xfId="0" applyNumberFormat="1" applyFont="1" applyFill="1" applyBorder="1" applyAlignment="1">
      <x:alignment horizontal="general" vertical="bottom" wrapText="0"/>
    </x:xf>
    <x:xf numFmtId="164" fontId="27" fillId="0" borderId="12" xfId="0" applyNumberFormat="1" applyFont="1" applyFill="1" applyBorder="1" applyAlignment="1">
      <x:alignment horizontal="general" vertical="bottom" wrapText="1"/>
    </x:xf>
    <x:xf numFmtId="164" fontId="27" fillId="0" borderId="13" xfId="0" applyNumberFormat="1" applyFont="1" applyFill="1" applyBorder="1" applyAlignment="1">
      <x:alignment horizontal="general" vertical="bottom" wrapText="1"/>
    </x:xf>
    <x:xf numFmtId="164" fontId="27" fillId="0" borderId="14" xfId="0" applyNumberFormat="1" applyFont="1" applyFill="1" applyBorder="1" applyAlignment="1">
      <x:alignment horizontal="general" vertical="bottom" wrapText="1"/>
    </x:xf>
    <x:xf numFmtId="164" fontId="27" fillId="0" borderId="12" xfId="0" applyNumberFormat="1" applyFont="1" applyFill="1" applyBorder="1" applyAlignment="1">
      <x:alignment horizontal="general" vertical="top" wrapText="1"/>
    </x:xf>
    <x:xf numFmtId="164" fontId="27" fillId="0" borderId="13" xfId="0" applyNumberFormat="1" applyFont="1" applyFill="1" applyBorder="1" applyAlignment="1">
      <x:alignment horizontal="general" vertical="top" wrapText="1"/>
    </x:xf>
    <x:xf numFmtId="164" fontId="27" fillId="0" borderId="14" xfId="0" applyNumberFormat="1" applyFont="1" applyFill="1" applyBorder="1" applyAlignment="1">
      <x:alignment horizontal="general" vertical="top" wrapText="1"/>
    </x:xf>
    <x:xf numFmtId="164" fontId="27" fillId="12" borderId="13" xfId="0" applyNumberFormat="1" applyFont="1" applyFill="1" applyBorder="1" applyAlignment="1">
      <x:alignment horizontal="general" vertical="top" wrapText="1"/>
    </x:xf>
    <x:xf numFmtId="164" fontId="27" fillId="12" borderId="14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16161A"/>
        </x:patternFill>
      </x:fill>
    </x:dxf>
    <x:dxf>
      <x:fill>
        <x:patternFill>
          <x:bgColor rgb="FFE8E4D9"/>
        </x:patternFill>
      </x:fill>
    </x:dxf>
    <x:dxf>
      <x:fill>
        <x:patternFill>
          <x:bgColor rgb="FFF5F2EB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3A5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B91C1C"/>
        </x:patternFill>
      </x:fill>
    </x:dxf>
    <x:dxf>
      <x:fill>
        <x:patternFill>
          <x:bgColor rgb="FFD9770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5F2EB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8E4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D97706"/>
      <x:rgbColor rgb="FF666699"/>
      <x:rgbColor rgb="FF9C9A92"/>
      <x:rgbColor rgb="FF1F3A5F"/>
      <x:rgbColor rgb="FF339966"/>
      <x:rgbColor rgb="FF16161A"/>
      <x:rgbColor rgb="FF333300"/>
      <x:rgbColor rgb="FFB91C1C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b97a093044e08" /><Relationship Type="http://schemas.openxmlformats.org/officeDocument/2006/relationships/theme" Target="/xl/theme/theme1.xml" Id="Ref94bfd156844e19" /><Relationship Type="http://schemas.microsoft.com/office/2022/11/relationships/FeaturePropertyBag" Target="/xl/featurePropertyBag/featurePropertyBag.xml" Id="R5397481822324725" /><Relationship Type="http://schemas.openxmlformats.org/officeDocument/2006/relationships/sharedStrings" Target="/xl/sharedStrings.xml" Id="R8bff71d84ae44fab" /><Relationship Type="http://schemas.openxmlformats.org/officeDocument/2006/relationships/worksheet" Target="/xl/worksheets/sheet1.xml" Id="R506fe2ae73fd4048" /><Relationship Type="http://schemas.openxmlformats.org/officeDocument/2006/relationships/worksheet" Target="/xl/worksheets/sheet2.xml" Id="R17b75364295e4213" /><Relationship Type="http://schemas.openxmlformats.org/officeDocument/2006/relationships/worksheet" Target="/xl/worksheets/sheet3.xml" Id="R3056f62477b44069" /><Relationship Type="http://schemas.openxmlformats.org/officeDocument/2006/relationships/worksheet" Target="/xl/worksheets/sheet4.xml" Id="R22b0a38aaf9c49b8" /><Relationship Type="http://schemas.openxmlformats.org/officeDocument/2006/relationships/worksheet" Target="/xl/worksheets/sheet5.xml" Id="Refdc94a35b8b4ee4" /><Relationship Type="http://schemas.openxmlformats.org/officeDocument/2006/relationships/worksheet" Target="/xl/worksheets/sheet6.xml" Id="Rb8717ae2e2274ff1" /><Relationship Type="http://schemas.openxmlformats.org/officeDocument/2006/relationships/worksheet" Target="/xl/worksheets/sheet7.xml" Id="R7abcfe57b3a44bb5" /><Relationship Type="http://schemas.openxmlformats.org/officeDocument/2006/relationships/worksheet" Target="/xl/worksheets/sheet8.xml" Id="R7be1ceb0266f428f" /><Relationship Type="http://schemas.openxmlformats.org/officeDocument/2006/relationships/worksheet" Target="/xl/worksheets/sheet9.xml" Id="Rf1693392eba94c9f" /><Relationship Type="http://schemas.openxmlformats.org/officeDocument/2006/relationships/worksheet" Target="/xl/worksheets/sheet10.xml" Id="R94a67bbebb424eab" /><Relationship Type="http://schemas.openxmlformats.org/officeDocument/2006/relationships/worksheet" Target="/xl/worksheets/sheet11.xml" Id="R334b8836caa449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hidden="0" customWidth="1"/>
    <x:col min="2" max="2" width="120" hidden="0" customWidth="1"/>
    <x:col min="3" max="3" width="52" hidden="0" customWidth="1"/>
    <x:col min="4" max="4" width="14" hidden="0" customWidth="1"/>
    <x:col min="5" max="5" width="22" hidden="0" customWidth="1"/>
    <x:col min="6" max="6" width="16" hidden="0" customWidth="1"/>
  </x:cols>
  <x:sheetData>
    <x:row r="1" ht="21.75" hidden="0" customHeight="1">
      <x:c r="A1" s="1" t="str">
        <x:v>Klints · Initial Data Consistency Check — Check Catalogue</x:v>
      </x:c>
      <x:c r="B1"/>
      <x:c r="C1"/>
      <x:c r="D1"/>
      <x:c r="E1"/>
      <x:c r="F1"/>
    </x:row>
    <x:row r="2" ht="15.75" hidden="0" customHeight="1">
      <x:c r="A2" s="2" t="str">
        <x:v>Engineering specification for the initial (onboarding) DCS sweep · Manago.ai + Shopify + ERP</x:v>
      </x:c>
      <x:c r="B2"/>
      <x:c r="C2"/>
      <x:c r="D2"/>
      <x:c r="E2"/>
      <x:c r="F2"/>
    </x:row>
    <x:row r="3" ht="13.5" hidden="0" customHeight="1">
      <x:c r="A3" s="3" t="str">
        <x:v>One row in the Check Catalogue = one implementable check. This workbook is the contract for what the initial data consistency check inspects, why, with what impact, and how each finding is fixed.</x:v>
      </x:c>
      <x:c r="B3"/>
      <x:c r="C3"/>
      <x:c r="D3"/>
      <x:c r="E3"/>
      <x:c r="F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 ht="18" hidden="0" customHeight="1">
      <x:c r="A6" s="5" t="str">
        <x:v>How to read this workbook</x:v>
      </x:c>
      <x:c r="B6" s="6"/>
      <x:c r="C6"/>
      <x:c r="D6"/>
      <x:c r="E6"/>
      <x:c r="F6"/>
    </x:row>
    <x:row r="7" ht="51.75" hidden="0" customHeight="1">
      <x:c r="A7" s="7" t="str">
        <x:v>Scope</x:v>
      </x:c>
      <x:c r="B7" s="8" t="str">
        <x:v>Stack in scope: Manago.ai (marketing platform) + Shopify (commerce, dev/demo baseline) + ERP (generic layer, CSV/API-agnostic). Check logic is written against the Klints canonical data model; Shopify and ERP columns are mapping surfaces. Magento 2 / WooCommerce arrive later as additional mapping columns — the check logic does not change. Platform neutrality is structural.</x:v>
      </x:c>
      <x:c r="C7"/>
      <x:c r="D7"/>
      <x:c r="E7"/>
      <x:c r="F7"/>
    </x:row>
    <x:row r="8" ht="51.75" hidden="0" customHeight="1">
      <x:c r="A8" s="7" t="str">
        <x:v>Method</x:v>
      </x:c>
      <x:c r="B8" s="8" t="str">
        <x:v>The catalogue was built as a completeness matrix: every canonical entity crossed with every check type (schema/format, presence, freshness, uniqueness, referential integrity, cross-system reconciliation, consent compliance, statistical anomaly, cross-field consistency, connectivity). Sheet '04 Coverage Matrix' shows the full grid; empty intersections are explicitly marked n/a with a reason, so nothing is missing by accident — only by decision.</x:v>
      </x:c>
      <x:c r="C8"/>
      <x:c r="D8"/>
      <x:c r="E8"/>
      <x:c r="F8"/>
    </x:row>
    <x:row r="9" ht="39.75" hidden="0" customHeight="1">
      <x:c r="A9" s="7" t="str">
        <x:v>Foundation Gate (dimension 00)</x:v>
      </x:c>
      <x:c r="B9" s="8" t="str">
        <x:v>FD checks are pre-score connectivity gates. They are NOT weighted into the DCS. A failed gate blocks or scopes the sweep — Klints never emits a score from an incomplete sweep; it emits a 'sweep incomplete' state. This protects the worst failure mode: a score that looks complete but is not.</x:v>
      </x:c>
      <x:c r="C9"/>
      <x:c r="D9"/>
      <x:c r="E9"/>
      <x:c r="F9"/>
    </x:row>
    <x:row r="10" ht="51.75" hidden="0" customHeight="1">
      <x:c r="A10" s="7" t="str">
        <x:v>Seven DCS dimensions</x:v>
      </x:c>
      <x:c r="B10" s="8" t="str">
        <x:v>01 Customer Identity · 02 Lifecycle Event · 03 Product &amp; Transaction · 04 Segment &amp; Property · 05 Channel &amp; Consent · 06 Measurement · 07 Business Reality. These are the reporting spine of the DCS. Check counts per dimension are not capped by demo figures — the demo's '28 deterministic checks' was a marketing snapshot, not an engineering ceiling.</x:v>
      </x:c>
      <x:c r="C10"/>
      <x:c r="D10"/>
      <x:c r="E10"/>
      <x:c r="F10"/>
    </x:row>
    <x:row r="11" ht="39.75" hidden="0" customHeight="1">
      <x:c r="A11" s="7" t="str">
        <x:v>Severity</x:v>
      </x:c>
      <x:c r="B11" s="8" t="str">
        <x:v>Critical = compliance exposure or a broken revenue-critical pipe. High = materially wrong workflow decisions. Medium = degraded precision or trust. Low = hygiene. Severity is issue-level; DCS Weight expresses how strongly the check pulls its sub-score.</x:v>
      </x:c>
      <x:c r="C11"/>
      <x:c r="D11"/>
      <x:c r="E11"/>
      <x:c r="F11"/>
    </x:row>
    <x:row r="12" ht="39.75" hidden="0" customHeight="1">
      <x:c r="A12" s="7" t="str">
        <x:v>Cadence</x:v>
      </x:c>
      <x:c r="B12" s="8" t="str">
        <x:v>Initial = onboarding sweep only. Initial + Recurring = onboarding sweep, then scheduled re-check (drift guard). Recurring = pure drift monitor. Expect materially more findings at initial connect than in steady state — the initial sweep is the archaeology pass.</x:v>
      </x:c>
      <x:c r="C12"/>
      <x:c r="D12"/>
      <x:c r="E12"/>
      <x:c r="F12"/>
    </x:row>
    <x:row r="13" ht="51.75" hidden="0" customHeight="1">
      <x:c r="A13" s="7" t="str">
        <x:v>Fix types</x:v>
      </x:c>
      <x:c r="B13" s="8" t="str">
        <x:v>Automated writeback (approved) = Klints executes via API after human approval, klints_ namespaced, audit-logged, rollback-noted. Integration build = the pipe itself must be built/repaired (integrator work). Configuration = mapping/config change in Klints or platform. Manual (guided) = Klints produces the finding and a guided task; a human owns execution. Division of labour is inviolable: Klints governs and orchestrates; platforms and agents execute.</x:v>
      </x:c>
      <x:c r="C13"/>
      <x:c r="D13"/>
      <x:c r="E13"/>
      <x:c r="F13"/>
    </x:row>
    <x:row r="14" ht="51.75" hidden="0" customHeight="1">
      <x:c r="A14" s="7" t="str">
        <x:v>MVP1 Fix Blueprint column</x:v>
      </x:c>
      <x:c r="B14" s="8" t="str">
        <x:v>Y = this issue class maps to one of the templated MVP1 Data Fix Blueprints (spec allows 8–12 issue types; several checks share one template — e.g. LE-01/05/14 share the event-backfill template). N = detect-only in MVP1: the finding is surfaced with a guided manual fix. Build Priority: P0 = initial sweep must-have · P1 = fast follow · P2 = later hardening.</x:v>
      </x:c>
      <x:c r="C14"/>
      <x:c r="D14"/>
      <x:c r="E14"/>
      <x:c r="F14"/>
    </x:row>
    <x:row r="15" ht="39.75" hidden="0" customHeight="1">
      <x:c r="A15" s="7" t="str">
        <x:v>Manago MCP note</x:v>
      </x:c>
      <x:c r="B15" s="8" t="str">
        <x:v>The Manago MCP server (mcp.manago.ai/mcp, OAuth) exposes read/analytics, segment and campaign surfaces. Klints may use it as a secondary cross-verification path for aggregates (FD-08), but deterministic checks always run on the documented v2/v3 API — MCP offers no field-level guarantees.</x:v>
      </x:c>
      <x:c r="C15"/>
      <x:c r="D15"/>
      <x:c r="E15"/>
      <x:c r="F15"/>
    </x:row>
    <x:row r="16" ht="18" hidden="0" customHeight="1">
      <x:c r="A16" s="5" t="str">
        <x:v>Catalogue summary (live counts)</x:v>
      </x:c>
      <x:c r="B16" s="6"/>
      <x:c r="C16"/>
      <x:c r="D16"/>
      <x:c r="E16"/>
      <x:c r="F16"/>
    </x:row>
    <x:row r="17" ht="24" hidden="0" customHeight="1">
      <x:c r="A17" s="9" t="str">
        <x:v>Dimension</x:v>
      </x:c>
      <x:c r="B17" s="9" t="str">
        <x:v>Checks</x:v>
      </x:c>
      <x:c r="C17" s="9" t="str">
        <x:v>Critical</x:v>
      </x:c>
      <x:c r="D17" s="9" t="str">
        <x:v>High severity</x:v>
      </x:c>
      <x:c r="E17" s="9" t="str">
        <x:v>MVP1 Fix Blueprint = Y</x:v>
      </x:c>
      <x:c r="F17" s="9" t="str">
        <x:v>P0 build priority</x:v>
      </x:c>
    </x:row>
    <x:row r="18" ht="15" hidden="0">
      <x:c r="A18" s="10" t="str">
        <x:v>00 Foundation Gate</x:v>
      </x:c>
      <x:c r="B18" s="10" t="n">
        <x:f aca="0"/>
        <x:v>8</x:v>
      </x:c>
      <x:c r="C18" s="10" t="n">
        <x:f aca="0"/>
        <x:v>2</x:v>
      </x:c>
      <x:c r="D18" s="10" t="n">
        <x:f aca="0"/>
        <x:v>4</x:v>
      </x:c>
      <x:c r="E18" s="10" t="n">
        <x:f aca="0"/>
        <x:v>0</x:v>
      </x:c>
      <x:c r="F18" s="10" t="n">
        <x:f aca="0"/>
        <x:v>7</x:v>
      </x:c>
    </x:row>
    <x:row r="19" ht="15" hidden="0">
      <x:c r="A19" s="11" t="str">
        <x:v>01 Customer Identity</x:v>
      </x:c>
      <x:c r="B19" s="11" t="n">
        <x:f aca="0"/>
        <x:v>16</x:v>
      </x:c>
      <x:c r="C19" s="11" t="n">
        <x:f aca="0"/>
        <x:v>2</x:v>
      </x:c>
      <x:c r="D19" s="11" t="n">
        <x:f aca="0"/>
        <x:v>4</x:v>
      </x:c>
      <x:c r="E19" s="11" t="n">
        <x:f aca="0"/>
        <x:v>7</x:v>
      </x:c>
      <x:c r="F19" s="11" t="n">
        <x:f aca="0"/>
        <x:v>5</x:v>
      </x:c>
    </x:row>
    <x:row r="20" ht="15" hidden="0">
      <x:c r="A20" s="10" t="str">
        <x:v>02 Lifecycle Event</x:v>
      </x:c>
      <x:c r="B20" s="10" t="n">
        <x:f aca="0"/>
        <x:v>15</x:v>
      </x:c>
      <x:c r="C20" s="10" t="n">
        <x:f aca="0"/>
        <x:v>3</x:v>
      </x:c>
      <x:c r="D20" s="10" t="n">
        <x:f aca="0"/>
        <x:v>7</x:v>
      </x:c>
      <x:c r="E20" s="10" t="n">
        <x:f aca="0"/>
        <x:v>8</x:v>
      </x:c>
      <x:c r="F20" s="10" t="n">
        <x:f aca="0"/>
        <x:v>10</x:v>
      </x:c>
    </x:row>
    <x:row r="21" ht="15" hidden="0">
      <x:c r="A21" s="11" t="str">
        <x:v>03 Product &amp; Transaction</x:v>
      </x:c>
      <x:c r="B21" s="11" t="n">
        <x:f aca="0"/>
        <x:v>15</x:v>
      </x:c>
      <x:c r="C21" s="11" t="n">
        <x:f aca="0"/>
        <x:v>1</x:v>
      </x:c>
      <x:c r="D21" s="11" t="n">
        <x:f aca="0"/>
        <x:v>9</x:v>
      </x:c>
      <x:c r="E21" s="11" t="n">
        <x:f aca="0"/>
        <x:v>7</x:v>
      </x:c>
      <x:c r="F21" s="11" t="n">
        <x:f aca="0"/>
        <x:v>8</x:v>
      </x:c>
    </x:row>
    <x:row r="22" ht="15" hidden="0">
      <x:c r="A22" s="10" t="str">
        <x:v>04 Segment &amp; Property</x:v>
      </x:c>
      <x:c r="B22" s="10" t="n">
        <x:f aca="0"/>
        <x:v>14</x:v>
      </x:c>
      <x:c r="C22" s="10" t="n">
        <x:f aca="0"/>
        <x:v>1</x:v>
      </x:c>
      <x:c r="D22" s="10" t="n">
        <x:f aca="0"/>
        <x:v>5</x:v>
      </x:c>
      <x:c r="E22" s="10" t="n">
        <x:f aca="0"/>
        <x:v>2</x:v>
      </x:c>
      <x:c r="F22" s="10" t="n">
        <x:f aca="0"/>
        <x:v>4</x:v>
      </x:c>
    </x:row>
    <x:row r="23" ht="15" hidden="0">
      <x:c r="A23" s="11" t="str">
        <x:v>05 Channel &amp; Consent</x:v>
      </x:c>
      <x:c r="B23" s="11" t="n">
        <x:f aca="0"/>
        <x:v>12</x:v>
      </x:c>
      <x:c r="C23" s="11" t="n">
        <x:f aca="0"/>
        <x:v>5</x:v>
      </x:c>
      <x:c r="D23" s="11" t="n">
        <x:f aca="0"/>
        <x:v>1</x:v>
      </x:c>
      <x:c r="E23" s="11" t="n">
        <x:f aca="0"/>
        <x:v>3</x:v>
      </x:c>
      <x:c r="F23" s="11" t="n">
        <x:f aca="0"/>
        <x:v>6</x:v>
      </x:c>
    </x:row>
    <x:row r="24" ht="15" hidden="0">
      <x:c r="A24" s="10" t="str">
        <x:v>06 Measurement</x:v>
      </x:c>
      <x:c r="B24" s="10" t="n">
        <x:f aca="0"/>
        <x:v>10</x:v>
      </x:c>
      <x:c r="C24" s="10" t="n">
        <x:f aca="0"/>
        <x:v>0</x:v>
      </x:c>
      <x:c r="D24" s="10" t="n">
        <x:f aca="0"/>
        <x:v>1</x:v>
      </x:c>
      <x:c r="E24" s="10" t="n">
        <x:f aca="0"/>
        <x:v>0</x:v>
      </x:c>
      <x:c r="F24" s="10" t="n">
        <x:f aca="0"/>
        <x:v>1</x:v>
      </x:c>
    </x:row>
    <x:row r="25" ht="15" hidden="0">
      <x:c r="A25" s="11" t="str">
        <x:v>07 Business Reality</x:v>
      </x:c>
      <x:c r="B25" s="11" t="n">
        <x:f aca="0"/>
        <x:v>12</x:v>
      </x:c>
      <x:c r="C25" s="11" t="n">
        <x:f aca="0"/>
        <x:v>1</x:v>
      </x:c>
      <x:c r="D25" s="11" t="n">
        <x:f aca="0"/>
        <x:v>5</x:v>
      </x:c>
      <x:c r="E25" s="11" t="n">
        <x:f aca="0"/>
        <x:v>7</x:v>
      </x:c>
      <x:c r="F25" s="11" t="n">
        <x:f aca="0"/>
        <x:v>5</x:v>
      </x:c>
    </x:row>
    <x:row r="26" ht="15" hidden="0">
      <x:c r="A26" s="12" t="str">
        <x:v>Total</x:v>
      </x:c>
      <x:c r="B26" s="12" t="n">
        <x:f aca="0"/>
        <x:v>102</x:v>
      </x:c>
      <x:c r="C26" s="12" t="n">
        <x:f aca="0"/>
        <x:v>15</x:v>
      </x:c>
      <x:c r="D26" s="12" t="n">
        <x:f aca="0"/>
        <x:v>36</x:v>
      </x:c>
      <x:c r="E26" s="12" t="n">
        <x:f aca="0"/>
        <x:v>34</x:v>
      </x:c>
      <x:c r="F26" s="12" t="n">
        <x:f aca="0"/>
        <x:v>46</x:v>
      </x:c>
    </x:row>
    <x:row r="27">
      <x:c r="A27"/>
      <x:c r="B27"/>
      <x:c r="C27"/>
      <x:c r="D27"/>
      <x:c r="E27"/>
      <x:c r="F27"/>
    </x:row>
    <x:row r="28" ht="15" hidden="0">
      <x:c r="A28" s="5" t="str">
        <x:v>MVP1 Fix Blueprint templates (build scope)</x:v>
      </x:c>
      <x:c r="B28" s="6"/>
      <x:c r="C28"/>
      <x:c r="D28"/>
      <x:c r="E28"/>
      <x:c r="F28"/>
    </x:row>
    <x:row r="29" ht="42" hidden="0" customHeight="1">
      <x:c r="A29" s="13" t="str">
        <x:v>The 34 blueprint-eligible checks collapse into 11 reusable fix templates. This is the real MVP1 build scope — Rohan builds 11 templated fix generators, not 35. Each template is parameterised by the checks that feed it. Detect-only checks (Blueprint = N) surface findings with a guided manual fix and are out of the templated build.</x:v>
      </x:c>
      <x:c r="B29" s="13"/>
      <x:c r="C29"/>
      <x:c r="D29"/>
      <x:c r="E29"/>
      <x:c r="F29"/>
    </x:row>
    <x:row r="30" ht="21.75" hidden="0" customHeight="1">
      <x:c r="A30" s="9" t="str">
        <x:v>Template</x:v>
      </x:c>
      <x:c r="B30" s="9" t="str">
        <x:v>Checks fed</x:v>
      </x:c>
      <x:c r="C30" s="9" t="str">
        <x:v>What it does</x:v>
      </x:c>
      <x:c r="D30"/>
      <x:c r="E30"/>
      <x:c r="F30"/>
    </x:row>
    <x:row r="31" ht="30" hidden="0" customHeight="1">
      <x:c r="A31" s="84" t="str">
        <x:v>Pilot supplemental preflight gates</x:v>
      </x:c>
      <x:c r="B31" s="84" t="str">
        <x:v>The 42-check sheet remains the headline onboarding-score scope. Twelve additional checks are executed on demand only when required by one of the 16 pilot blueprints. They do not change the headline score; a FAIL blocks only the dependent pilot. See '11 Pilot Supplemental Gates'.</x:v>
      </x:c>
      <x:c r="C31" s="8" t="str">
        <x:v>Approved contact create/upsert (batchupsertv2) for classified identity gaps; klints_backfill marker.</x:v>
      </x:c>
      <x:c r="D31"/>
      <x:c r="E31"/>
      <x:c r="F31"/>
    </x:row>
    <x:row r="32" ht="30" hidden="0" customHeight="1">
      <x:c r="A32" s="15" t="str">
        <x:v>T2 Identity key repair</x:v>
      </x:c>
      <x:c r="B32" s="15" t="str">
        <x:v>CI-05, CI-16</x:v>
      </x:c>
      <x:c r="C32" s="16" t="str">
        <x:v>Backfill externalId / klints_erp_id join keys from matched pairs; enforce on future syncs.</x:v>
      </x:c>
      <x:c r="D32"/>
      <x:c r="E32"/>
      <x:c r="F32"/>
    </x:row>
    <x:row r="33" ht="30" hidden="0" customHeight="1">
      <x:c r="A33" s="14" t="str">
        <x:v>T3 Contact merge</x:v>
      </x:c>
      <x:c r="B33" s="14" t="str">
        <x:v>CI-03</x:v>
      </x:c>
      <x:c r="C33" s="8" t="str">
        <x:v>Survivor designation, tag/detail merge, event re-point; loser suppression with snapshot log.</x:v>
      </x:c>
      <x:c r="D33"/>
      <x:c r="E33"/>
      <x:c r="F33"/>
    </x:row>
    <x:row r="34" ht="30" hidden="0" customHeight="1">
      <x:c r="A34" s="15" t="str">
        <x:v>T4 Field normalisation</x:v>
      </x:c>
      <x:c r="B34" s="15" t="str">
        <x:v>CI-09, SP-03, PT-07, LE-06</x:v>
      </x:c>
      <x:c r="C34" s="16" t="str">
        <x:v>Format cleaners (E.164, detail formats, currency basis, timestamp units) via approved batch upsert; prior values to audit log.</x:v>
      </x:c>
      <x:c r="D34"/>
      <x:c r="E34"/>
      <x:c r="F34"/>
    </x:row>
    <x:row r="35" ht="30" hidden="0" customHeight="1">
      <x:c r="A35" s="14" t="str">
        <x:v>T5 Event backfill</x:v>
      </x:c>
      <x:c r="B35" s="14" t="str">
        <x:v>LE-01, LE-05, LE-07, LE-09, LE-14</x:v>
      </x:c>
      <x:c r="C35" s="8" t="str">
        <x:v>Add missing PURCHASE/CART/RETURN events from Shopify gap lists (batchAddContactExtEvent, 1000/batch); externalId keyed.</x:v>
      </x:c>
      <x:c r="D35"/>
      <x:c r="E35"/>
      <x:c r="F35"/>
    </x:row>
    <x:row r="36" ht="30" hidden="0" customHeight="1">
      <x:c r="A36" s="15" t="str">
        <x:v>T6 Event correction</x:v>
      </x:c>
      <x:c r="B36" s="15" t="str">
        <x:v>LE-02, LE-04, PT-04</x:v>
      </x:c>
      <x:c r="C36" s="16" t="str">
        <x:v>Dedup and value correction; klints_net_ltv governed value where platform can't net refunds.</x:v>
      </x:c>
      <x:c r="D36"/>
      <x:c r="E36"/>
      <x:c r="F36"/>
    </x:row>
    <x:row r="37" ht="30" hidden="0" customHeight="1">
      <x:c r="A37" s="14" t="str">
        <x:v>T7 Catalog sync</x:v>
      </x:c>
      <x:c r="B37" s="14" t="str">
        <x:v>PT-01, PT-03, PT-05, PT-06, PT-09</x:v>
      </x:c>
      <x:c r="C37" s="8" t="str">
        <x:v>Catalog upsert / updatePrice / updateQuantity from commerce truth; ID convention enforced; webhook-driven.</x:v>
      </x:c>
      <x:c r="D37"/>
      <x:c r="E37"/>
      <x:c r="F37"/>
    </x:row>
    <x:row r="38" ht="30" hidden="0" customHeight="1">
      <x:c r="A38" s="15" t="str">
        <x:v>T8 Consent reconciliation</x:v>
      </x:c>
      <x:c r="B38" s="15" t="str">
        <x:v>CC-01, CC-02, CC-05</x:v>
      </x:c>
      <x:c r="C38" s="16" t="str">
        <x:v>Quadrant reconciliation with source-of-truth policy; forceOptIn/Out per policy; propagation loop.</x:v>
      </x:c>
      <x:c r="D38"/>
      <x:c r="E38"/>
      <x:c r="F38"/>
    </x:row>
    <x:row r="39" ht="30" hidden="0" customHeight="1">
      <x:c r="A39" s="14" t="str">
        <x:v>T9 Tag consolidation</x:v>
      </x:c>
      <x:c r="B39" s="14" t="str">
        <x:v>SP-01</x:v>
      </x:c>
      <x:c r="C39" s="8" t="str">
        <x:v>Variant→canonical retag via upsert; reverse map retained for rollback.</x:v>
      </x:c>
      <x:c r="D39"/>
      <x:c r="E39"/>
      <x:c r="F39"/>
    </x:row>
    <x:row r="40" ht="30" hidden="0" customHeight="1">
      <x:c r="A40" s="15" t="str">
        <x:v>T10 ERP attribute feed</x:v>
      </x:c>
      <x:c r="B40" s="15" t="str">
        <x:v>BR-01, BR-04, BR-05, BR-09, BR-11</x:v>
      </x:c>
      <x:c r="C40" s="16" t="str">
        <x:v>ERP→klints_ governed details (margin, status, commercial flags, consumption inputs); exclusion-by-rule on gaps.</x:v>
      </x:c>
      <x:c r="D40"/>
      <x:c r="E40"/>
      <x:c r="F40"/>
    </x:row>
    <x:row r="41" ht="30" hidden="0" customHeight="1">
      <x:c r="A41" s="14" t="str">
        <x:v>T11 Availability gating</x:v>
      </x:c>
      <x:c r="B41" s="14" t="str">
        <x:v>BR-02, BR-03</x:v>
      </x:c>
      <x:c r="C41" s="8" t="str">
        <x:v>Stock freshness sync + OOS auto-suppression via availability flags; pre-flight campaign gate.</x:v>
      </x:c>
      <x:c r="D41"/>
      <x:c r="E41"/>
      <x:c r="F41"/>
    </x:row>
    <x:row r="42">
      <x:c r="A42"/>
      <x:c r="B42"/>
      <x:c r="C42"/>
      <x:c r="D42"/>
      <x:c r="E42"/>
      <x:c r="F42"/>
    </x:row>
    <x:row r="43" ht="15" hidden="0">
      <x:c r="A43" s="5" t="str">
        <x:v>Sheet index</x:v>
      </x:c>
      <x:c r="B43" s="6"/>
      <x:c r="C43"/>
      <x:c r="D43"/>
      <x:c r="E43"/>
      <x:c r="F43"/>
    </x:row>
    <x:row r="44" ht="15" hidden="0">
      <x:c r="A44" s="17" t="str">
        <x:v>02 Check Catalogue</x:v>
      </x:c>
      <x:c r="B44" s="16" t="str">
        <x:v>Master catalogue — one row per implementable check (the core of this document).</x:v>
      </x:c>
      <x:c r="C44"/>
      <x:c r="D44"/>
      <x:c r="E44"/>
      <x:c r="F44"/>
    </x:row>
    <x:row r="45" ht="15" hidden="0">
      <x:c r="A45" s="18" t="str">
        <x:v>03 Root Cause Taxonomy</x:v>
      </x:c>
      <x:c r="B45" s="8" t="str">
        <x:v>Closed classifier of root causes (RC-01…RC-15). Agents classify against this list; they do not invent causes.</x:v>
      </x:c>
      <x:c r="C45"/>
      <x:c r="D45"/>
      <x:c r="E45"/>
      <x:c r="F45"/>
    </x:row>
    <x:row r="46" ht="15" hidden="0">
      <x:c r="A46" s="17" t="str">
        <x:v>04 Coverage Matrix</x:v>
      </x:c>
      <x:c r="B46" s="16" t="str">
        <x:v>Entity × check-type completeness grid. Empty cells are explicit n/a with reasons.</x:v>
      </x:c>
      <x:c r="C46"/>
      <x:c r="D46"/>
      <x:c r="E46"/>
      <x:c r="F46"/>
    </x:row>
    <x:row r="47" ht="15" hidden="0">
      <x:c r="A47" s="18" t="str">
        <x:v>05 Initial Connect Runbook</x:v>
      </x:c>
      <x:c r="B47" s="8" t="str">
        <x:v>Phase-ordered agent runbook for the onboarding sweep, referencing Check IDs.</x:v>
      </x:c>
      <x:c r="C47"/>
      <x:c r="D47"/>
      <x:c r="E47"/>
      <x:c r="F47"/>
    </x:row>
    <x:row r="48" ht="15" hidden="0">
      <x:c r="A48" s="17" t="str">
        <x:v>06 Field Mapping Reference</x:v>
      </x:c>
      <x:c r="B48" s="16" t="str">
        <x:v>Canonical entity → Manago / Shopify / ERP field mapping. The neutrality layer.</x:v>
      </x:c>
      <x:c r="C48"/>
      <x:c r="D48"/>
      <x:c r="E48"/>
      <x:c r="F48"/>
    </x:row>
  </x:sheetData>
  <x:mergeCells>
    <x:mergeCell ref="A29:B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9" hidden="0" customWidth="1"/>
    <x:col min="2" max="2" width="20" hidden="0" customWidth="1"/>
    <x:col min="3" max="3" width="26" hidden="0" customWidth="1"/>
    <x:col min="4" max="6" width="18" hidden="0" customWidth="1"/>
    <x:col min="7" max="7" width="52" hidden="0" customWidth="1"/>
    <x:col min="8" max="8" width="26" hidden="0" customWidth="1"/>
    <x:col min="9" max="9" width="24" hidden="0" customWidth="1"/>
    <x:col min="10" max="10" width="20" hidden="0" customWidth="1"/>
    <x:col min="11" max="11" width="30" hidden="0" customWidth="1"/>
    <x:col min="12" max="12" width="12" hidden="0" customWidth="1"/>
    <x:col min="13" max="13" width="44" hidden="0" customWidth="1"/>
    <x:col min="14" max="14" width="26" hidden="0" customWidth="1"/>
    <x:col min="15" max="15" width="11" hidden="0" customWidth="1"/>
    <x:col min="16" max="16" width="14" hidden="0" customWidth="1"/>
    <x:col min="17" max="17" width="52" hidden="0" customWidth="1"/>
    <x:col min="18" max="18" width="24" hidden="0" customWidth="1"/>
    <x:col min="19" max="19" width="16" hidden="0" customWidth="1"/>
    <x:col min="20" max="20" width="34" hidden="0" customWidth="1"/>
    <x:col min="21" max="21" width="15" hidden="0" customWidth="1"/>
    <x:col min="22" max="22" width="12" hidden="0" customWidth="1"/>
    <x:col min="23" max="23" width="22" hidden="0" customWidth="1"/>
    <x:col min="24" max="24" width="9" hidden="0" customWidth="1"/>
  </x:cols>
  <x:sheetData>
    <x:row r="1" ht="21.75" hidden="0" customHeight="1">
      <x:c r="A1" s="1" t="str">
        <x:v>Check Catalogue — Initial Data Consistency Check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</x:row>
    <x:row r="2" ht="15.75" hidden="0" customHeight="1">
      <x:c r="A2" s="2" t="str">
        <x:v>One row = one implementable check · 102 checks · Foundation Gate + seven DCS dimensions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 ht="13.5" hidden="0" customHeight="1">
      <x:c r="A3" s="3" t="str">
        <x:v>Detection logic is written against the Klints canonical model; Manago/Shopify/ERP columns name the concrete surfaces. Severity ≠ DCS Weight: severity is issue impact, weight is score pull.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 ht="30" hidden="0" customHeight="1">
      <x:c r="A5" s="9" t="str">
        <x:v>Check ID</x:v>
      </x:c>
      <x:c r="B5" s="9" t="str">
        <x:v>DCS Dimension</x:v>
      </x:c>
      <x:c r="C5" s="9" t="str">
        <x:v>Check Name</x:v>
      </x:c>
      <x:c r="D5" s="9" t="str">
        <x:v>Entity</x:v>
      </x:c>
      <x:c r="E5" s="9" t="str">
        <x:v>Systems Compared</x:v>
      </x:c>
      <x:c r="F5" s="9" t="str">
        <x:v>Check Type</x:v>
      </x:c>
      <x:c r="G5" s="9" t="str">
        <x:v>Detection Logic</x:v>
      </x:c>
      <x:c r="H5" s="9" t="str">
        <x:v>Manago Surface</x:v>
      </x:c>
      <x:c r="I5" s="9" t="str">
        <x:v>Shopify Surface</x:v>
      </x:c>
      <x:c r="J5" s="9" t="str">
        <x:v>ERP Surface</x:v>
      </x:c>
      <x:c r="K5" s="9" t="str">
        <x:v>Inconsistency Type</x:v>
      </x:c>
      <x:c r="L5" s="9" t="str">
        <x:v>Root Causes</x:v>
      </x:c>
      <x:c r="M5" s="9" t="str">
        <x:v>Business Impact</x:v>
      </x:c>
      <x:c r="N5" s="9" t="str">
        <x:v>Affected Workflows</x:v>
      </x:c>
      <x:c r="O5" s="9" t="str">
        <x:v>Severity</x:v>
      </x:c>
      <x:c r="P5" s="9" t="str">
        <x:v>DCS Weight</x:v>
      </x:c>
      <x:c r="Q5" s="9" t="str">
        <x:v>Suggested Fix</x:v>
      </x:c>
      <x:c r="R5" s="9" t="str">
        <x:v>Fix Type</x:v>
      </x:c>
      <x:c r="S5" s="9" t="str">
        <x:v>Fix Owner</x:v>
      </x:c>
      <x:c r="T5" s="9" t="str">
        <x:v>Rollback Note</x:v>
      </x:c>
      <x:c r="U5" s="9" t="str">
        <x:v>Cadence</x:v>
      </x:c>
      <x:c r="V5" s="9" t="str">
        <x:v>MVP1 Fix Blueprint</x:v>
      </x:c>
      <x:c r="W5" s="9" t="str">
        <x:v>Fix Template</x:v>
      </x:c>
      <x:c r="X5" s="9" t="str">
        <x:v>Build Priority</x:v>
      </x:c>
    </x:row>
    <x:row r="6" ht="15.75" hidden="0" customHeight="1">
      <x:c r="A6" s="5" t="str">
        <x:v>00 Foundation Gate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</x:row>
    <x:row r="7" ht="42" hidden="0" customHeight="1">
      <x:c r="A7" s="19" t="str">
        <x:v>FD-01</x:v>
      </x:c>
      <x:c r="B7" s="8" t="str">
        <x:v>00 Foundation Gate</x:v>
      </x:c>
      <x:c r="C7" s="8" t="str">
        <x:v>Manago API authentication valid</x:v>
      </x:c>
      <x:c r="D7" s="8" t="str">
        <x:v>Connection</x:v>
      </x:c>
      <x:c r="E7" s="8" t="str">
        <x:v>Manago</x:v>
      </x:c>
      <x:c r="F7" s="8" t="str">
        <x:v>Connectivity</x:v>
      </x:c>
      <x:c r="G7" s="8" t="str">
        <x:v>Signed test call (sha1 of apiKey+clientId+apiSecret) to a read endpoint returns success=true; verify per-account endpoint URL resolves.</x:v>
      </x:c>
      <x:c r="H7" s="8" t="str">
        <x:v>v2 auth: clientId + apiKey + sha + requestTime + owner; per-account endpoint</x:v>
      </x:c>
      <x:c r="I7" s="8" t="str">
        <x:v>—</x:v>
      </x:c>
      <x:c r="J7" s="8" t="str">
        <x:v>—</x:v>
      </x:c>
      <x:c r="K7" s="8" t="str">
        <x:v>Credentials invalid, expired, or wrong endpoint region</x:v>
      </x:c>
      <x:c r="L7" s="8" t="str">
        <x:v>RC-12</x:v>
      </x:c>
      <x:c r="M7" s="8" t="str">
        <x:v>No check can run; onboarding blocked at step one.</x:v>
      </x:c>
      <x:c r="N7" s="8" t="str">
        <x:v>All</x:v>
      </x:c>
      <x:c r="O7" s="20" t="str">
        <x:v>Critical</x:v>
      </x:c>
      <x:c r="P7" s="21" t="str">
        <x:v>Gate — blocks scoring</x:v>
      </x:c>
      <x:c r="Q7" s="8" t="str">
        <x:v>Re-capture credentials in onboarding; validate endpoint URL format; store in secret manager with per-tenant scoping.</x:v>
      </x:c>
      <x:c r="R7" s="8" t="str">
        <x:v>Configuration</x:v>
      </x:c>
      <x:c r="S7" s="8" t="str">
        <x:v>Klints (automated)</x:v>
      </x:c>
      <x:c r="T7" s="8" t="str">
        <x:v>No writes performed; nothing to roll back.</x:v>
      </x:c>
      <x:c r="U7" s="21" t="str">
        <x:v>Initial + Recurring</x:v>
      </x:c>
      <x:c r="V7" s="21" t="str">
        <x:v>N</x:v>
      </x:c>
      <x:c r="W7" s="21" t="str">
        <x:v>—</x:v>
      </x:c>
      <x:c r="X7" s="21" t="str">
        <x:v>P0</x:v>
      </x:c>
    </x:row>
    <x:row r="8" ht="42" hidden="0" customHeight="1">
      <x:c r="A8" s="22" t="str">
        <x:v>FD-02</x:v>
      </x:c>
      <x:c r="B8" s="16" t="str">
        <x:v>00 Foundation Gate</x:v>
      </x:c>
      <x:c r="C8" s="16" t="str">
        <x:v>Shopify API authentication and scopes</x:v>
      </x:c>
      <x:c r="D8" s="16" t="str">
        <x:v>Connection</x:v>
      </x:c>
      <x:c r="E8" s="16" t="str">
        <x:v>Shopify</x:v>
      </x:c>
      <x:c r="F8" s="16" t="str">
        <x:v>Connectivity</x:v>
      </x:c>
      <x:c r="G8" s="16" t="str">
        <x:v>OAuth token valid; granted scopes include read_customers, read_orders, read_products, read_inventory; log any missing scope.</x:v>
      </x:c>
      <x:c r="H8" s="16" t="str">
        <x:v>—</x:v>
      </x:c>
      <x:c r="I8" s="16" t="str">
        <x:v>Admin API OAuth token + access scopes</x:v>
      </x:c>
      <x:c r="J8" s="16" t="str">
        <x:v>—</x:v>
      </x:c>
      <x:c r="K8" s="16" t="str">
        <x:v>Token revoked or scopes insufficient for full detection surface</x:v>
      </x:c>
      <x:c r="L8" s="16" t="str">
        <x:v>RC-12</x:v>
      </x:c>
      <x:c r="M8" s="16" t="str">
        <x:v>Checks silently degrade — e.g. no refund visibility without read_orders; DCS would be computed on partial data.</x:v>
      </x:c>
      <x:c r="N8" s="16" t="str">
        <x:v>All</x:v>
      </x:c>
      <x:c r="O8" s="20" t="str">
        <x:v>Critical</x:v>
      </x:c>
      <x:c r="P8" s="23" t="str">
        <x:v>Gate — blocks scoring</x:v>
      </x:c>
      <x:c r="Q8" s="16" t="str">
        <x:v>Re-run OAuth with full read scope set; hard-fail onboarding if a required scope is denied rather than scoring partially.</x:v>
      </x:c>
      <x:c r="R8" s="16" t="str">
        <x:v>Configuration</x:v>
      </x:c>
      <x:c r="S8" s="16" t="str">
        <x:v>Klints (automated)</x:v>
      </x:c>
      <x:c r="T8" s="16" t="str">
        <x:v>No writes performed.</x:v>
      </x:c>
      <x:c r="U8" s="23" t="str">
        <x:v>Initial + Recurring</x:v>
      </x:c>
      <x:c r="V8" s="23" t="str">
        <x:v>N</x:v>
      </x:c>
      <x:c r="W8" s="23" t="str">
        <x:v>—</x:v>
      </x:c>
      <x:c r="X8" s="23" t="str">
        <x:v>P0</x:v>
      </x:c>
    </x:row>
    <x:row r="9" ht="42" hidden="0" customHeight="1">
      <x:c r="A9" s="19" t="str">
        <x:v>FD-03</x:v>
      </x:c>
      <x:c r="B9" s="8" t="str">
        <x:v>00 Foundation Gate</x:v>
      </x:c>
      <x:c r="C9" s="8" t="str">
        <x:v>ERP feed reachable and parseable</x:v>
      </x:c>
      <x:c r="D9" s="8" t="str">
        <x:v>Connection</x:v>
      </x:c>
      <x:c r="E9" s="8" t="str">
        <x:v>ERP</x:v>
      </x:c>
      <x:c r="F9" s="8" t="str">
        <x:v>Connectivity</x:v>
      </x:c>
      <x:c r="G9" s="8" t="str">
        <x:v>CSV/API feed retrievable; schema header matches agreed mapping template; row count &gt; 0; encoding valid UTF-8.</x:v>
      </x:c>
      <x:c r="H9" s="8" t="str">
        <x:v>—</x:v>
      </x:c>
      <x:c r="I9" s="8" t="str">
        <x:v>—</x:v>
      </x:c>
      <x:c r="J9" s="8" t="str">
        <x:v>ERP export (CSV schedule or API)</x:v>
      </x:c>
      <x:c r="K9" s="8" t="str">
        <x:v>Feed missing, schema changed, or encoding corrupt</x:v>
      </x:c>
      <x:c r="L9" s="8" t="str">
        <x:v>RC-06, RC-12</x:v>
      </x:c>
      <x:c r="M9" s="8" t="str">
        <x:v>Business Reality dimension cannot be scored; margin- and inventory-aware checks skipped.</x:v>
      </x:c>
      <x:c r="N9" s="8" t="str">
        <x:v>ERP-aware margin-safe, replenishment</x:v>
      </x:c>
      <x:c r="O9" s="24" t="str">
        <x:v>High</x:v>
      </x:c>
      <x:c r="P9" s="21" t="str">
        <x:v>Gate — BR dimension only</x:v>
      </x:c>
      <x:c r="Q9" s="8" t="str">
        <x:v>Notify tenant with expected schema template; allow scoring to proceed with BR dimension flagged 'not connected' rather than silently zero.</x:v>
      </x:c>
      <x:c r="R9" s="8" t="str">
        <x:v>Configuration</x:v>
      </x:c>
      <x:c r="S9" s="8" t="str">
        <x:v>Data lead</x:v>
      </x:c>
      <x:c r="T9" s="8" t="str">
        <x:v>No writes performed.</x:v>
      </x:c>
      <x:c r="U9" s="21" t="str">
        <x:v>Initial + Recurring</x:v>
      </x:c>
      <x:c r="V9" s="21" t="str">
        <x:v>N</x:v>
      </x:c>
      <x:c r="W9" s="21" t="str">
        <x:v>—</x:v>
      </x:c>
      <x:c r="X9" s="21" t="str">
        <x:v>P0</x:v>
      </x:c>
    </x:row>
    <x:row r="10" ht="42" hidden="0" customHeight="1">
      <x:c r="A10" s="22" t="str">
        <x:v>FD-04</x:v>
      </x:c>
      <x:c r="B10" s="16" t="str">
        <x:v>00 Foundation Gate</x:v>
      </x:c>
      <x:c r="C10" s="16" t="str">
        <x:v>API rate-limit headroom measured</x:v>
      </x:c>
      <x:c r="D10" s="16" t="str">
        <x:v>Connection</x:v>
      </x:c>
      <x:c r="E10" s="16" t="str">
        <x:v>Manago + Shopify</x:v>
      </x:c>
      <x:c r="F10" s="16" t="str">
        <x:v>Connectivity</x:v>
      </x:c>
      <x:c r="G10" s="16" t="str">
        <x:v>Measure throttle responses during a controlled burst; record safe request budget per connector for the full sweep.</x:v>
      </x:c>
      <x:c r="H10" s="16" t="str">
        <x:v>v2/v3 endpoints (batch limits: 1000/request)</x:v>
      </x:c>
      <x:c r="I10" s="16" t="str">
        <x:v>Admin API rate limits (leaky bucket)</x:v>
      </x:c>
      <x:c r="J10" s="16" t="str">
        <x:v>—</x:v>
      </x:c>
      <x:c r="K10" s="16" t="str">
        <x:v>Initial sweep aborts mid-run on rate limiting, producing a partial dataset</x:v>
      </x:c>
      <x:c r="L10" s="16" t="str">
        <x:v>RC-15</x:v>
      </x:c>
      <x:c r="M10" s="16" t="str">
        <x:v>A partial sweep produces a misleading DCS; worst failure mode is a score that looks complete but is not.</x:v>
      </x:c>
      <x:c r="N10" s="16" t="str">
        <x:v>All</x:v>
      </x:c>
      <x:c r="O10" s="24" t="str">
        <x:v>High</x:v>
      </x:c>
      <x:c r="P10" s="23" t="str">
        <x:v>Gate — blocks scoring</x:v>
      </x:c>
      <x:c r="Q10" s="16" t="str">
        <x:v>Adaptive throttling with checkpoint/resume; never emit a score from an incomplete sweep — emit 'sweep incomplete' state instead.</x:v>
      </x:c>
      <x:c r="R10" s="16" t="str">
        <x:v>Configuration</x:v>
      </x:c>
      <x:c r="S10" s="16" t="str">
        <x:v>Klints (automated)</x:v>
      </x:c>
      <x:c r="T10" s="16" t="str">
        <x:v>No writes performed.</x:v>
      </x:c>
      <x:c r="U10" s="23" t="str">
        <x:v>Initial</x:v>
      </x:c>
      <x:c r="V10" s="23" t="str">
        <x:v>N</x:v>
      </x:c>
      <x:c r="W10" s="23" t="str">
        <x:v>—</x:v>
      </x:c>
      <x:c r="X10" s="23" t="str">
        <x:v>P0</x:v>
      </x:c>
    </x:row>
    <x:row r="11" ht="42" hidden="0" customHeight="1">
      <x:c r="A11" s="19" t="str">
        <x:v>FD-05</x:v>
      </x:c>
      <x:c r="B11" s="8" t="str">
        <x:v>00 Foundation Gate</x:v>
      </x:c>
      <x:c r="C11" s="8" t="str">
        <x:v>Historical data depth available</x:v>
      </x:c>
      <x:c r="D11" s="8" t="str">
        <x:v>Connection</x:v>
      </x:c>
      <x:c r="E11" s="8" t="str">
        <x:v>Manago + Shopify + ERP</x:v>
      </x:c>
      <x:c r="F11" s="8" t="str">
        <x:v>Connectivity</x:v>
      </x:c>
      <x:c r="G11" s="8" t="str">
        <x:v>Determine max retrievable history per system (orders, events, contacts); record earliest timestamp per entity.</x:v>
      </x:c>
      <x:c r="H11" s="8" t="str">
        <x:v>External Events export; contact export</x:v>
      </x:c>
      <x:c r="I11" s="8" t="str">
        <x:v>Orders API (created_at range)</x:v>
      </x:c>
      <x:c r="J11" s="8" t="str">
        <x:v>ERP export range</x:v>
      </x:c>
      <x:c r="K11" s="8" t="str">
        <x:v>Systems expose different historical windows</x:v>
      </x:c>
      <x:c r="L11" s="8" t="str">
        <x:v>RC-09</x:v>
      </x:c>
      <x:c r="M11" s="8" t="str">
        <x:v>RFM, LTV and churn signals computed on asymmetric history are biased; must be declared, not assumed.</x:v>
      </x:c>
      <x:c r="N11" s="8" t="str">
        <x:v>RFM-based, winback, VIP progression</x:v>
      </x:c>
      <x:c r="O11" s="25" t="str">
        <x:v>Medium</x:v>
      </x:c>
      <x:c r="P11" s="21" t="str">
        <x:v>Gate — informs confidence</x:v>
      </x:c>
      <x:c r="Q11" s="8" t="str">
        <x:v>Record per-entity history depth as sweep metadata; cap lookback of cross-system reconciliations to the shortest common window.</x:v>
      </x:c>
      <x:c r="R11" s="8" t="str">
        <x:v>Configuration</x:v>
      </x:c>
      <x:c r="S11" s="8" t="str">
        <x:v>Klints (automated)</x:v>
      </x:c>
      <x:c r="T11" s="8" t="str">
        <x:v>No writes performed.</x:v>
      </x:c>
      <x:c r="U11" s="21" t="str">
        <x:v>Initial</x:v>
      </x:c>
      <x:c r="V11" s="21" t="str">
        <x:v>N</x:v>
      </x:c>
      <x:c r="W11" s="21" t="str">
        <x:v>—</x:v>
      </x:c>
      <x:c r="X11" s="21" t="str">
        <x:v>P0</x:v>
      </x:c>
    </x:row>
    <x:row r="12" ht="54" hidden="0" customHeight="1">
      <x:c r="A12" s="22" t="str">
        <x:v>FD-06</x:v>
      </x:c>
      <x:c r="B12" s="16" t="str">
        <x:v>00 Foundation Gate</x:v>
      </x:c>
      <x:c r="C12" s="16" t="str">
        <x:v>Manago account/sub-account topology mapped</x:v>
      </x:c>
      <x:c r="D12" s="16" t="str">
        <x:v>Connection</x:v>
      </x:c>
      <x:c r="E12" s="16" t="str">
        <x:v>Manago</x:v>
      </x:c>
      <x:c r="F12" s="16" t="str">
        <x:v>Connectivity</x:v>
      </x:c>
      <x:c r="G12" s="16" t="str">
        <x:v>Enumerate accounts/sub-accounts in scope; classify relationship (geo-variant / independent business line / segment-variant) before any cross-account check runs.</x:v>
      </x:c>
      <x:c r="H12" s="16" t="str">
        <x:v>Per-account endpoints; owner field</x:v>
      </x:c>
      <x:c r="I12" s="16" t="str">
        <x:v>Shopify store list (if Plus multi-store)</x:v>
      </x:c>
      <x:c r="J12" s="16" t="str">
        <x:v>—</x:v>
      </x:c>
      <x:c r="K12" s="16" t="str">
        <x:v>Multi-account setup treated as single account, or cross-account checks applied where accounts are legitimately independent</x:v>
      </x:c>
      <x:c r="L12" s="16" t="str">
        <x:v>RC-11</x:v>
      </x:c>
      <x:c r="M12" s="16" t="str">
        <x:v>False positives flood the issue list (e.g. 'contact count mismatch' across intentionally separate markets), destroying trust in the score.</x:v>
      </x:c>
      <x:c r="N12" s="16" t="str">
        <x:v>All cross-account checks</x:v>
      </x:c>
      <x:c r="O12" s="24" t="str">
        <x:v>High</x:v>
      </x:c>
      <x:c r="P12" s="23" t="str">
        <x:v>Gate — scopes all checks</x:v>
      </x:c>
      <x:c r="Q12" s="16" t="str">
        <x:v>Onboarding captures account relationship classification; each cross-system check declares which classes it applies to.</x:v>
      </x:c>
      <x:c r="R12" s="16" t="str">
        <x:v>Configuration</x:v>
      </x:c>
      <x:c r="S12" s="16" t="str">
        <x:v>Data lead</x:v>
      </x:c>
      <x:c r="T12" s="16" t="str">
        <x:v>No writes performed.</x:v>
      </x:c>
      <x:c r="U12" s="23" t="str">
        <x:v>Initial</x:v>
      </x:c>
      <x:c r="V12" s="23" t="str">
        <x:v>N</x:v>
      </x:c>
      <x:c r="W12" s="23" t="str">
        <x:v>—</x:v>
      </x:c>
      <x:c r="X12" s="23" t="str">
        <x:v>P0</x:v>
      </x:c>
    </x:row>
    <x:row r="13" ht="42" hidden="0" customHeight="1">
      <x:c r="A13" s="19" t="str">
        <x:v>FD-07</x:v>
      </x:c>
      <x:c r="B13" s="8" t="str">
        <x:v>00 Foundation Gate</x:v>
      </x:c>
      <x:c r="C13" s="8" t="str">
        <x:v>Manago site tracking code active</x:v>
      </x:c>
      <x:c r="D13" s="8" t="str">
        <x:v>Connection</x:v>
      </x:c>
      <x:c r="E13" s="8" t="str">
        <x:v>Manago + Storefront</x:v>
      </x:c>
      <x:c r="F13" s="8" t="str">
        <x:v>Connectivity</x:v>
      </x:c>
      <x:c r="G13" s="8" t="str">
        <x:v>Recent VISIT events exist and smclient cookies are being issued; verify monitoring code fires on the production storefront domain(s).</x:v>
      </x:c>
      <x:c r="H13" s="8" t="str">
        <x:v>VISIT events; smclient cookie; monitoring code</x:v>
      </x:c>
      <x:c r="I13" s="8" t="str">
        <x:v>Storefront theme (script presence)</x:v>
      </x:c>
      <x:c r="J13" s="8" t="str">
        <x:v>—</x:v>
      </x:c>
      <x:c r="K13" s="8" t="str">
        <x:v>Tracking code absent, on wrong domain, or blocked</x:v>
      </x:c>
      <x:c r="L13" s="8" t="str">
        <x:v>RC-12</x:v>
      </x:c>
      <x:c r="M13" s="8" t="str">
        <x:v>Behavioural dimension of the contact model is empty: no visit history, no web identification, degraded segmentation and personalisation.</x:v>
      </x:c>
      <x:c r="N13" s="8" t="str">
        <x:v>Browse abandonment, web personalisation</x:v>
      </x:c>
      <x:c r="O13" s="24" t="str">
        <x:v>High</x:v>
      </x:c>
      <x:c r="P13" s="21" t="str">
        <x:v>Gate — informs LE/ME checks</x:v>
      </x:c>
      <x:c r="Q13" s="8" t="str">
        <x:v>Install/repair monitoring code via Shopify theme integration; verify with a live test visit before sweep.</x:v>
      </x:c>
      <x:c r="R13" s="8" t="str">
        <x:v>Integration build</x:v>
      </x:c>
      <x:c r="S13" s="8" t="str">
        <x:v>External integrator</x:v>
      </x:c>
      <x:c r="T13" s="8" t="str">
        <x:v>Script tag removal restores prior state.</x:v>
      </x:c>
      <x:c r="U13" s="21" t="str">
        <x:v>Initial + Recurring</x:v>
      </x:c>
      <x:c r="V13" s="21" t="str">
        <x:v>N</x:v>
      </x:c>
      <x:c r="W13" s="21" t="str">
        <x:v>—</x:v>
      </x:c>
      <x:c r="X13" s="21" t="str">
        <x:v>P0</x:v>
      </x:c>
    </x:row>
    <x:row r="14" ht="54" hidden="0" customHeight="1">
      <x:c r="A14" s="22" t="str">
        <x:v>FD-08</x:v>
      </x:c>
      <x:c r="B14" s="16" t="str">
        <x:v>00 Foundation Gate</x:v>
      </x:c>
      <x:c r="C14" s="16" t="str">
        <x:v>MCP surface availability (optional read path)</x:v>
      </x:c>
      <x:c r="D14" s="16" t="str">
        <x:v>Connection</x:v>
      </x:c>
      <x:c r="E14" s="16" t="str">
        <x:v>Manago MCP</x:v>
      </x:c>
      <x:c r="F14" s="16" t="str">
        <x:v>Connectivity</x:v>
      </x:c>
      <x:c r="G14" s="16" t="str">
        <x:v>If tenant has MCP enabled (mcp.manago.ai/mcp, OAuth), verify Klints can run read-only analytical queries as a secondary verification surface.</x:v>
      </x:c>
      <x:c r="H14" s="16" t="str">
        <x:v>MCP server (analytics, contact queries, segment reads)</x:v>
      </x:c>
      <x:c r="I14" s="16" t="str">
        <x:v>—</x:v>
      </x:c>
      <x:c r="J14" s="16" t="str">
        <x:v>—</x:v>
      </x:c>
      <x:c r="K14" s="16" t="str">
        <x:v>MCP unavailable or unauthorised</x:v>
      </x:c>
      <x:c r="L14" s="16" t="str">
        <x:v>RC-12</x:v>
      </x:c>
      <x:c r="M14" s="16" t="str">
        <x:v>No functional loss — deterministic checks run on the API. MCP adds a cheap cross-verification path for aggregate counts.</x:v>
      </x:c>
      <x:c r="N14" s="16" t="str">
        <x:v>None directly</x:v>
      </x:c>
      <x:c r="O14" s="26" t="str">
        <x:v>Low</x:v>
      </x:c>
      <x:c r="P14" s="23" t="str">
        <x:v>Informational</x:v>
      </x:c>
      <x:c r="Q14" s="16" t="str">
        <x:v>Proceed without MCP; note availability in sweep metadata. Never use MCP as the primary source for a deterministic check (no field-level guarantees).</x:v>
      </x:c>
      <x:c r="R14" s="16" t="str">
        <x:v>Configuration</x:v>
      </x:c>
      <x:c r="S14" s="16" t="str">
        <x:v>Klints (automated)</x:v>
      </x:c>
      <x:c r="T14" s="16" t="str">
        <x:v>No writes performed.</x:v>
      </x:c>
      <x:c r="U14" s="23" t="str">
        <x:v>Initial</x:v>
      </x:c>
      <x:c r="V14" s="23" t="str">
        <x:v>N</x:v>
      </x:c>
      <x:c r="W14" s="23" t="str">
        <x:v>—</x:v>
      </x:c>
      <x:c r="X14" s="23" t="str">
        <x:v>P2</x:v>
      </x:c>
    </x:row>
    <x:row r="15" ht="15.75" hidden="0" customHeight="1">
      <x:c r="A15" s="5" t="str">
        <x:v>01 Customer Identity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ht="66" hidden="0" customHeight="1">
      <x:c r="A16" s="22" t="str">
        <x:v>CI-01</x:v>
      </x:c>
      <x:c r="B16" s="16" t="str">
        <x:v>01 Customer Identity</x:v>
      </x:c>
      <x:c r="C16" s="16" t="str">
        <x:v>Contact count reconciliation</x:v>
      </x:c>
      <x:c r="D16" s="16" t="str">
        <x:v>Contact / Customer</x:v>
      </x:c>
      <x:c r="E16" s="16" t="str">
        <x:v>Manago vs Shopify</x:v>
      </x:c>
      <x:c r="F16" s="16" t="str">
        <x:v>Cross-system reconciliation</x:v>
      </x:c>
      <x:c r="G16" s="16" t="str">
        <x:v>Compare total Manago contacts vs Shopify customers within common history window; compute overlap by normalised email; report counts in-both / Manago-only / Shopify-only.</x:v>
      </x:c>
      <x:c r="H16" s="16" t="str">
        <x:v>contact export (email, createdOn)</x:v>
      </x:c>
      <x:c r="I16" s="16" t="str">
        <x:v>customers (email, created_at)</x:v>
      </x:c>
      <x:c r="J16" s="16" t="str">
        <x:v>—</x:v>
      </x:c>
      <x:c r="K16" s="16" t="str">
        <x:v>Customer universes diverge — one system holds contacts the other never received</x:v>
      </x:c>
      <x:c r="L16" s="16" t="str">
        <x:v>RC-01, RC-03, RC-09</x:v>
      </x:c>
      <x:c r="M16" s="16" t="str">
        <x:v>Segments and revenue-per-contact metrics computed on different denominators; campaigns miss real customers or target ghosts.</x:v>
      </x:c>
      <x:c r="N16" s="16" t="str">
        <x:v>All segmentation-driven workflows</x:v>
      </x:c>
      <x:c r="O16" s="24" t="str">
        <x:v>High</x:v>
      </x:c>
      <x:c r="P16" s="23" t="str">
        <x:v>High</x:v>
      </x:c>
      <x:c r="Q16" s="16" t="str">
        <x:v>Classify the delta: guest checkouts (see CI-02), missing historical import (backfill via batchupsertv2, max 1000/batch), or newsletter-only contacts (legitimate). Backfill only classified gaps, with approval.</x:v>
      </x:c>
      <x:c r="R16" s="16" t="str">
        <x:v>Automated writeback (approved)</x:v>
      </x:c>
      <x:c r="S16" s="16" t="str">
        <x:v>Klints (automated)</x:v>
      </x:c>
      <x:c r="T16" s="16" t="str">
        <x:v>Backfilled contacts are tagged klints_backfill for reversible identification; deletion restores prior state.</x:v>
      </x:c>
      <x:c r="U16" s="23" t="str">
        <x:v>Initial + Recurring</x:v>
      </x:c>
      <x:c r="V16" s="23" t="str">
        <x:v>Y</x:v>
      </x:c>
      <x:c r="W16" s="27" t="str">
        <x:v>T1 Identity backfill</x:v>
      </x:c>
      <x:c r="X16" s="23" t="str">
        <x:v>P0</x:v>
      </x:c>
    </x:row>
    <x:row r="17" ht="66" hidden="0" customHeight="1">
      <x:c r="A17" s="19" t="str">
        <x:v>CI-02</x:v>
      </x:c>
      <x:c r="B17" s="8" t="str">
        <x:v>01 Customer Identity</x:v>
      </x:c>
      <x:c r="C17" s="8" t="str">
        <x:v>Guest checkout identity share</x:v>
      </x:c>
      <x:c r="D17" s="8" t="str">
        <x:v>Customer</x:v>
      </x:c>
      <x:c r="E17" s="8" t="str">
        <x:v>Shopify</x:v>
      </x:c>
      <x:c r="F17" s="8" t="str">
        <x:v>Presence</x:v>
      </x:c>
      <x:c r="G17" s="8" t="str">
        <x:v>Share of Shopify orders with no customer account or where customer has orders_count but no accepted account state; measure identifiable email coverage on guest orders.</x:v>
      </x:c>
      <x:c r="H17" s="8" t="str">
        <x:v>—</x:v>
      </x:c>
      <x:c r="I17" s="8" t="str">
        <x:v>orders.customer, orders.email, customer.state</x:v>
      </x:c>
      <x:c r="J17" s="8" t="str">
        <x:v>—</x:v>
      </x:c>
      <x:c r="K17" s="8" t="str">
        <x:v>Revenue attributed to anonymous or thin identities</x:v>
      </x:c>
      <x:c r="L17" s="8" t="str">
        <x:v>RC-03</x:v>
      </x:c>
      <x:c r="M17" s="8" t="str">
        <x:v>Guest buyers are invisible to lifecycle marketing — second-purchase and winback flows never trigger for them.</x:v>
      </x:c>
      <x:c r="N17" s="8" t="str">
        <x:v>Second-purchase accelerator, winback, replenishment</x:v>
      </x:c>
      <x:c r="O17" s="24" t="str">
        <x:v>High</x:v>
      </x:c>
      <x:c r="P17" s="21" t="str">
        <x:v>High</x:v>
      </x:c>
      <x:c r="Q17" s="8" t="str">
        <x:v>Ensure guest order emails flow to Manago as contacts with PURCHASE events (email is the Manago primary key, account not required); add post-purchase account-creation nudge as a workflow opportunity.</x:v>
      </x:c>
      <x:c r="R17" s="8" t="str">
        <x:v>Integration build</x:v>
      </x:c>
      <x:c r="S17" s="8" t="str">
        <x:v>External integrator</x:v>
      </x:c>
      <x:c r="T17" s="8" t="str">
        <x:v>New contacts carry klints_source detail; reversible by filtered deletion.</x:v>
      </x:c>
      <x:c r="U17" s="21" t="str">
        <x:v>Initial + Recurring</x:v>
      </x:c>
      <x:c r="V17" s="21" t="str">
        <x:v>Y</x:v>
      </x:c>
      <x:c r="W17" s="28" t="str">
        <x:v>T1 Identity backfill</x:v>
      </x:c>
      <x:c r="X17" s="21" t="str">
        <x:v>P0</x:v>
      </x:c>
    </x:row>
    <x:row r="18" ht="54" hidden="0" customHeight="1">
      <x:c r="A18" s="22" t="str">
        <x:v>CI-03</x:v>
      </x:c>
      <x:c r="B18" s="16" t="str">
        <x:v>01 Customer Identity</x:v>
      </x:c>
      <x:c r="C18" s="16" t="str">
        <x:v>Duplicate contacts in Manago</x:v>
      </x:c>
      <x:c r="D18" s="16" t="str">
        <x:v>Contact</x:v>
      </x:c>
      <x:c r="E18" s="16" t="str">
        <x:v>Manago</x:v>
      </x:c>
      <x:c r="F18" s="16" t="str">
        <x:v>Uniqueness</x:v>
      </x:c>
      <x:c r="G18" s="16" t="str">
        <x:v>Detect near-duplicate emails (case variants, whitespace, plus-aliases, common typo domains) and multiple contacts sharing the same externalId or phone.</x:v>
      </x:c>
      <x:c r="H18" s="16" t="str">
        <x:v>contact email (primary key), externalId, phone</x:v>
      </x:c>
      <x:c r="I18" s="16" t="str">
        <x:v>—</x:v>
      </x:c>
      <x:c r="J18" s="16" t="str">
        <x:v>—</x:v>
      </x:c>
      <x:c r="K18" s="16" t="str">
        <x:v>One person exists as several contact records with split history</x:v>
      </x:c>
      <x:c r="L18" s="16" t="str">
        <x:v>RC-04, RC-08</x:v>
      </x:c>
      <x:c r="M18" s="16" t="str">
        <x:v>Split purchase history breaks RFM, understates LTV, and one person receives duplicate or contradictory messaging.</x:v>
      </x:c>
      <x:c r="N18" s="16" t="str">
        <x:v>RFM-based, VIP progression, frequency-capped sends</x:v>
      </x:c>
      <x:c r="O18" s="24" t="str">
        <x:v>High</x:v>
      </x:c>
      <x:c r="P18" s="23" t="str">
        <x:v>High</x:v>
      </x:c>
      <x:c r="Q18" s="16" t="str">
        <x:v>Merge plan per duplicate cluster: designate survivor (richest history), merge tags/details, re-point events; execute via contact upsert with approval; suppress losers.</x:v>
      </x:c>
      <x:c r="R18" s="16" t="str">
        <x:v>Automated writeback (approved)</x:v>
      </x:c>
      <x:c r="S18" s="16" t="str">
        <x:v>CRM manager</x:v>
      </x:c>
      <x:c r="T18" s="16" t="str">
        <x:v>Merge log retains loser snapshots; tags/details re-appliable. Event re-pointing is not reversible in bulk — approval screen must state this.</x:v>
      </x:c>
      <x:c r="U18" s="23" t="str">
        <x:v>Initial + Recurring</x:v>
      </x:c>
      <x:c r="V18" s="23" t="str">
        <x:v>Y</x:v>
      </x:c>
      <x:c r="W18" s="27" t="str">
        <x:v>T3 Contact merge</x:v>
      </x:c>
      <x:c r="X18" s="23" t="str">
        <x:v>P0</x:v>
      </x:c>
    </x:row>
    <x:row r="19" ht="54" hidden="0" customHeight="1">
      <x:c r="A19" s="19" t="str">
        <x:v>CI-04</x:v>
      </x:c>
      <x:c r="B19" s="8" t="str">
        <x:v>01 Customer Identity</x:v>
      </x:c>
      <x:c r="C19" s="8" t="str">
        <x:v>Duplicate customers in Shopify</x:v>
      </x:c>
      <x:c r="D19" s="8" t="str">
        <x:v>Customer</x:v>
      </x:c>
      <x:c r="E19" s="8" t="str">
        <x:v>Shopify</x:v>
      </x:c>
      <x:c r="F19" s="8" t="str">
        <x:v>Uniqueness</x:v>
      </x:c>
      <x:c r="G19" s="8" t="str">
        <x:v>Multiple Shopify customer IDs sharing one normalised email or phone; detect merge candidates on the commerce side.</x:v>
      </x:c>
      <x:c r="H19" s="8" t="str">
        <x:v>—</x:v>
      </x:c>
      <x:c r="I19" s="8" t="str">
        <x:v>customers (email, phone, id)</x:v>
      </x:c>
      <x:c r="J19" s="8" t="str">
        <x:v>—</x:v>
      </x:c>
      <x:c r="K19" s="8" t="str">
        <x:v>Commerce-side identity split feeds duplicated contacts downstream</x:v>
      </x:c>
      <x:c r="L19" s="8" t="str">
        <x:v>RC-04</x:v>
      </x:c>
      <x:c r="M19" s="8" t="str">
        <x:v>Any Manago sync keyed on Shopify customer ID imports the split; fixing only Manago leaves the source polluted.</x:v>
      </x:c>
      <x:c r="N19" s="8" t="str">
        <x:v>All identity-dependent workflows</x:v>
      </x:c>
      <x:c r="O19" s="25" t="str">
        <x:v>Medium</x:v>
      </x:c>
      <x:c r="P19" s="21" t="str">
        <x:v>Medium</x:v>
      </x:c>
      <x:c r="Q19" s="8" t="str">
        <x:v>Flag for merchant-side merge (Shopify admin merge or app); Klints does not write to Shopify in MVP1 — detect-only with a guided task for the merchant.</x:v>
      </x:c>
      <x:c r="R19" s="8" t="str">
        <x:v>Manual (guided)</x:v>
      </x:c>
      <x:c r="S19" s="8" t="str">
        <x:v>Merchant ops</x:v>
      </x:c>
      <x:c r="T19" s="8" t="str">
        <x:v>N/A — no Klints write.</x:v>
      </x:c>
      <x:c r="U19" s="21" t="str">
        <x:v>Initial + Recurring</x:v>
      </x:c>
      <x:c r="V19" s="21" t="str">
        <x:v>N</x:v>
      </x:c>
      <x:c r="W19" s="21" t="str">
        <x:v>—</x:v>
      </x:c>
      <x:c r="X19" s="21" t="str">
        <x:v>P1</x:v>
      </x:c>
    </x:row>
    <x:row r="20" ht="54" hidden="0" customHeight="1">
      <x:c r="A20" s="22" t="str">
        <x:v>CI-05</x:v>
      </x:c>
      <x:c r="B20" s="16" t="str">
        <x:v>01 Customer Identity</x:v>
      </x:c>
      <x:c r="C20" s="16" t="str">
        <x:v>External ID linkage integrity</x:v>
      </x:c>
      <x:c r="D20" s="16" t="str">
        <x:v>Contact / Customer</x:v>
      </x:c>
      <x:c r="E20" s="16" t="str">
        <x:v>Manago vs Shopify</x:v>
      </x:c>
      <x:c r="F20" s="16" t="str">
        <x:v>Referential integrity</x:v>
      </x:c>
      <x:c r="G20" s="16" t="str">
        <x:v>Manago contact externalId populated with Shopify customer ID; verify bijective mapping (no externalId reused across contacts, no contact linked to a nonexistent customer).</x:v>
      </x:c>
      <x:c r="H20" s="16" t="str">
        <x:v>contact externalId</x:v>
      </x:c>
      <x:c r="I20" s="16" t="str">
        <x:v>customers.id</x:v>
      </x:c>
      <x:c r="J20" s="16" t="str">
        <x:v>ERP customer number (if mapped)</x:v>
      </x:c>
      <x:c r="K20" s="16" t="str">
        <x:v>Link key missing, duplicated, or dangling</x:v>
      </x:c>
      <x:c r="L20" s="16" t="str">
        <x:v>RC-01, RC-02</x:v>
      </x:c>
      <x:c r="M20" s="16" t="str">
        <x:v>Without a stable join key every future reconciliation degrades to fuzzy email matching; writeback targeting becomes risky.</x:v>
      </x:c>
      <x:c r="N20" s="16" t="str">
        <x:v>All cross-system checks and writebacks</x:v>
      </x:c>
      <x:c r="O20" s="20" t="str">
        <x:v>Critical</x:v>
      </x:c>
      <x:c r="P20" s="23" t="str">
        <x:v>High</x:v>
      </x:c>
      <x:c r="Q20" s="16" t="str">
        <x:v>Backfill externalId from email-matched pairs via contact upsert (approved batch); enforce the key on all future syncs; quarantine ambiguous matches for manual review.</x:v>
      </x:c>
      <x:c r="R20" s="16" t="str">
        <x:v>Automated writeback (approved)</x:v>
      </x:c>
      <x:c r="S20" s="16" t="str">
        <x:v>Klints (automated)</x:v>
      </x:c>
      <x:c r="T20" s="16" t="str">
        <x:v>externalId writes logged per contact; previous value (usually empty) restorable from audit log.</x:v>
      </x:c>
      <x:c r="U20" s="23" t="str">
        <x:v>Initial + Recurring</x:v>
      </x:c>
      <x:c r="V20" s="23" t="str">
        <x:v>Y</x:v>
      </x:c>
      <x:c r="W20" s="27" t="str">
        <x:v>T2 Identity key repair</x:v>
      </x:c>
      <x:c r="X20" s="23" t="str">
        <x:v>P0</x:v>
      </x:c>
    </x:row>
    <x:row r="21" ht="54" hidden="0" customHeight="1">
      <x:c r="A21" s="19" t="str">
        <x:v>CI-06</x:v>
      </x:c>
      <x:c r="B21" s="8" t="str">
        <x:v>01 Customer Identity</x:v>
      </x:c>
      <x:c r="C21" s="8" t="str">
        <x:v>Manago-only contacts classified</x:v>
      </x:c>
      <x:c r="D21" s="8" t="str">
        <x:v>Contact</x:v>
      </x:c>
      <x:c r="E21" s="8" t="str">
        <x:v>Manago vs Shopify</x:v>
      </x:c>
      <x:c r="F21" s="8" t="str">
        <x:v>Cross-system reconciliation</x:v>
      </x:c>
      <x:c r="G21" s="8" t="str">
        <x:v>Contacts in Manago with no Shopify counterpart: classify by source (newsletter form, import, offline, other store) using owner, tags, and creation source signals.</x:v>
      </x:c>
      <x:c r="H21" s="8" t="str">
        <x:v>contact source signals (tags, owner, createdOn)</x:v>
      </x:c>
      <x:c r="I21" s="8" t="str">
        <x:v>customers (absence)</x:v>
      </x:c>
      <x:c r="J21" s="8" t="str">
        <x:v>—</x:v>
      </x:c>
      <x:c r="K21" s="8" t="str">
        <x:v>Unexplained contact population of unknown origin and consent provenance</x:v>
      </x:c>
      <x:c r="L21" s="8" t="str">
        <x:v>RC-08, RC-09, RC-11</x:v>
      </x:c>
      <x:c r="M21" s="8" t="str">
        <x:v>Unclassified contacts pollute deliverability (stale imports), inflate segment sizes, and carry consent risk.</x:v>
      </x:c>
      <x:c r="N21" s="8" t="str">
        <x:v>All email sends; deliverability posture</x:v>
      </x:c>
      <x:c r="O21" s="25" t="str">
        <x:v>Medium</x:v>
      </x:c>
      <x:c r="P21" s="21" t="str">
        <x:v>Medium</x:v>
      </x:c>
      <x:c r="Q21" s="8" t="str">
        <x:v>Classify and tag cohorts (klints_cohort detail); recommend sunset policy for unengaged unexplained imports rather than deletion.</x:v>
      </x:c>
      <x:c r="R21" s="8" t="str">
        <x:v>Automated writeback (approved)</x:v>
      </x:c>
      <x:c r="S21" s="8" t="str">
        <x:v>CRM manager</x:v>
      </x:c>
      <x:c r="T21" s="8" t="str">
        <x:v>Cohort tags removable in bulk; no destructive action taken.</x:v>
      </x:c>
      <x:c r="U21" s="21" t="str">
        <x:v>Initial</x:v>
      </x:c>
      <x:c r="V21" s="21" t="str">
        <x:v>N</x:v>
      </x:c>
      <x:c r="W21" s="21" t="str">
        <x:v>—</x:v>
      </x:c>
      <x:c r="X21" s="21" t="str">
        <x:v>P1</x:v>
      </x:c>
    </x:row>
    <x:row r="22" ht="54" hidden="0" customHeight="1">
      <x:c r="A22" s="22" t="str">
        <x:v>CI-07</x:v>
      </x:c>
      <x:c r="B22" s="16" t="str">
        <x:v>01 Customer Identity</x:v>
      </x:c>
      <x:c r="C22" s="16" t="str">
        <x:v>Shopify-only customers (sync gap)</x:v>
      </x:c>
      <x:c r="D22" s="16" t="str">
        <x:v>Customer</x:v>
      </x:c>
      <x:c r="E22" s="16" t="str">
        <x:v>Shopify vs Manago</x:v>
      </x:c>
      <x:c r="F22" s="16" t="str">
        <x:v>Cross-system reconciliation</x:v>
      </x:c>
      <x:c r="G22" s="16" t="str">
        <x:v>Shopify customers absent from Manago beyond expected sync lag; segment by created_at to distinguish historical gap vs live pipe failure.</x:v>
      </x:c>
      <x:c r="H22" s="16" t="str">
        <x:v>contact export (absence)</x:v>
      </x:c>
      <x:c r="I22" s="16" t="str">
        <x:v>customers (email, created_at)</x:v>
      </x:c>
      <x:c r="J22" s="16" t="str">
        <x:v>—</x:v>
      </x:c>
      <x:c r="K22" s="16" t="str">
        <x:v>New buyers never reach the marketing platform</x:v>
      </x:c>
      <x:c r="L22" s="16" t="str">
        <x:v>RC-01, RC-05, RC-09</x:v>
      </x:c>
      <x:c r="M22" s="16" t="str">
        <x:v>Every missing customer is a silent lifecycle-revenue leak — no welcome, no second-purchase, no winback ever fires.</x:v>
      </x:c>
      <x:c r="N22" s="16" t="str">
        <x:v>Welcome, second-purchase accelerator, all lifecycle flows</x:v>
      </x:c>
      <x:c r="O22" s="20" t="str">
        <x:v>Critical</x:v>
      </x:c>
      <x:c r="P22" s="23" t="str">
        <x:v>High</x:v>
      </x:c>
      <x:c r="Q22" s="16" t="str">
        <x:v>If live pipe broken: repair integration first, then backfill via batchupsertv2 with consent mapping (CC-01 gates the consent fields). Historical-only gap: approved backfill.</x:v>
      </x:c>
      <x:c r="R22" s="16" t="str">
        <x:v>Integration build + Automated writeback (approved)</x:v>
      </x:c>
      <x:c r="S22" s="16" t="str">
        <x:v>External integrator</x:v>
      </x:c>
      <x:c r="T22" s="16" t="str">
        <x:v>Backfill tagged klints_backfill; reversible by filtered deletion.</x:v>
      </x:c>
      <x:c r="U22" s="23" t="str">
        <x:v>Initial + Recurring</x:v>
      </x:c>
      <x:c r="V22" s="23" t="str">
        <x:v>Y</x:v>
      </x:c>
      <x:c r="W22" s="27" t="str">
        <x:v>T1 Identity backfill</x:v>
      </x:c>
      <x:c r="X22" s="23" t="str">
        <x:v>P0</x:v>
      </x:c>
    </x:row>
    <x:row r="23" ht="54" hidden="0" customHeight="1">
      <x:c r="A23" s="19" t="str">
        <x:v>CI-08</x:v>
      </x:c>
      <x:c r="B23" s="8" t="str">
        <x:v>01 Customer Identity</x:v>
      </x:c>
      <x:c r="C23" s="8" t="str">
        <x:v>Email format validity</x:v>
      </x:c>
      <x:c r="D23" s="8" t="str">
        <x:v>Contact</x:v>
      </x:c>
      <x:c r="E23" s="8" t="str">
        <x:v>Manago</x:v>
      </x:c>
      <x:c r="F23" s="8" t="str">
        <x:v>Schema / format</x:v>
      </x:c>
      <x:c r="G23" s="8" t="str">
        <x:v>Syntactic validation of contact emails (RFC-lite), disposable-domain flagging, obvious typo domains (gmial.com etc.).</x:v>
      </x:c>
      <x:c r="H23" s="8" t="str">
        <x:v>contact email</x:v>
      </x:c>
      <x:c r="I23" s="8" t="str">
        <x:v>customers.email</x:v>
      </x:c>
      <x:c r="J23" s="8" t="str">
        <x:v>—</x:v>
      </x:c>
      <x:c r="K23" s="8" t="str">
        <x:v>Undeliverable or junk identities held as primary keys</x:v>
      </x:c>
      <x:c r="L23" s="8" t="str">
        <x:v>RC-08</x:v>
      </x:c>
      <x:c r="M23" s="8" t="str">
        <x:v>Bounce rate inflation damages sender reputation; junk identities distort counts and match rates.</x:v>
      </x:c>
      <x:c r="N23" s="8" t="str">
        <x:v>All email workflows</x:v>
      </x:c>
      <x:c r="O23" s="25" t="str">
        <x:v>Medium</x:v>
      </x:c>
      <x:c r="P23" s="21" t="str">
        <x:v>Medium</x:v>
      </x:c>
      <x:c r="Q23" s="8" t="str">
        <x:v>Flag invalid set; recommend suppression tag (not deletion) so history is retained; typo-domain candidates offered as one-click corrections with approval.</x:v>
      </x:c>
      <x:c r="R23" s="8" t="str">
        <x:v>Automated writeback (approved)</x:v>
      </x:c>
      <x:c r="S23" s="8" t="str">
        <x:v>CRM manager</x:v>
      </x:c>
      <x:c r="T23" s="8" t="str">
        <x:v>Suppression tag removable; corrections logged with prior value.</x:v>
      </x:c>
      <x:c r="U23" s="21" t="str">
        <x:v>Initial + Recurring</x:v>
      </x:c>
      <x:c r="V23" s="21" t="str">
        <x:v>N</x:v>
      </x:c>
      <x:c r="W23" s="21" t="str">
        <x:v>—</x:v>
      </x:c>
      <x:c r="X23" s="21" t="str">
        <x:v>P1</x:v>
      </x:c>
    </x:row>
    <x:row r="24" ht="42" hidden="0" customHeight="1">
      <x:c r="A24" s="22" t="str">
        <x:v>CI-09</x:v>
      </x:c>
      <x:c r="B24" s="16" t="str">
        <x:v>01 Customer Identity</x:v>
      </x:c>
      <x:c r="C24" s="16" t="str">
        <x:v>Phone number normalisation (E.164)</x:v>
      </x:c>
      <x:c r="D24" s="16" t="str">
        <x:v>Contact</x:v>
      </x:c>
      <x:c r="E24" s="16" t="str">
        <x:v>Manago vs Shopify</x:v>
      </x:c>
      <x:c r="F24" s="16" t="str">
        <x:v>Schema / format</x:v>
      </x:c>
      <x:c r="G24" s="16" t="str">
        <x:v>Phone fields parseable to E.164; country-code inference cross-checked against address country; mismatch rate between systems.</x:v>
      </x:c>
      <x:c r="H24" s="16" t="str">
        <x:v>contact phone</x:v>
      </x:c>
      <x:c r="I24" s="16" t="str">
        <x:v>customers.phone</x:v>
      </x:c>
      <x:c r="J24" s="16" t="str">
        <x:v>ERP customer phone (if present)</x:v>
      </x:c>
      <x:c r="K24" s="16" t="str">
        <x:v>Phones stored in mixed local formats, unusable for SMS</x:v>
      </x:c>
      <x:c r="L24" s="16" t="str">
        <x:v>RC-08, RC-14</x:v>
      </x:c>
      <x:c r="M24" s="16" t="str">
        <x:v>SMS channel effectively dark for part of the base despite consent; mobile marketing consent wasted.</x:v>
      </x:c>
      <x:c r="N24" s="16" t="str">
        <x:v>SMS flows, WhatsApp, mobile push fallback</x:v>
      </x:c>
      <x:c r="O24" s="25" t="str">
        <x:v>Medium</x:v>
      </x:c>
      <x:c r="P24" s="23" t="str">
        <x:v>Medium</x:v>
      </x:c>
      <x:c r="Q24" s="16" t="str">
        <x:v>Normalise to E.164 via approved batch upsert where inference is unambiguous; ambiguous cases queued for review.</x:v>
      </x:c>
      <x:c r="R24" s="16" t="str">
        <x:v>Automated writeback (approved)</x:v>
      </x:c>
      <x:c r="S24" s="16" t="str">
        <x:v>Klints (automated)</x:v>
      </x:c>
      <x:c r="T24" s="16" t="str">
        <x:v>Prior raw value stored in audit log per contact; restorable.</x:v>
      </x:c>
      <x:c r="U24" s="23" t="str">
        <x:v>Initial</x:v>
      </x:c>
      <x:c r="V24" s="23" t="str">
        <x:v>Y</x:v>
      </x:c>
      <x:c r="W24" s="27" t="str">
        <x:v>T4 Field normalisation</x:v>
      </x:c>
      <x:c r="X24" s="23" t="str">
        <x:v>P1</x:v>
      </x:c>
    </x:row>
    <x:row r="25" ht="54" hidden="0" customHeight="1">
      <x:c r="A25" s="19" t="str">
        <x:v>CI-10</x:v>
      </x:c>
      <x:c r="B25" s="8" t="str">
        <x:v>01 Customer Identity</x:v>
      </x:c>
      <x:c r="C25" s="8" t="str">
        <x:v>Name field mapping consistency</x:v>
      </x:c>
      <x:c r="D25" s="8" t="str">
        <x:v>Contact</x:v>
      </x:c>
      <x:c r="E25" s="8" t="str">
        <x:v>Manago vs Shopify</x:v>
      </x:c>
      <x:c r="F25" s="8" t="str">
        <x:v>Cross-system reconciliation</x:v>
      </x:c>
      <x:c r="G25" s="8" t="str">
        <x:v>Compare name fields on linked pairs; detect swapped first/last, ALL-CAPS artifacts, placeholder values ('test', '-').</x:v>
      </x:c>
      <x:c r="H25" s="8" t="str">
        <x:v>contact name</x:v>
      </x:c>
      <x:c r="I25" s="8" t="str">
        <x:v>customers.first_name / last_name</x:v>
      </x:c>
      <x:c r="J25" s="8" t="str">
        <x:v>—</x:v>
      </x:c>
      <x:c r="K25" s="8" t="str">
        <x:v>Personalisation tokens render wrong or embarrassing</x:v>
      </x:c>
      <x:c r="L25" s="8" t="str">
        <x:v>RC-02, RC-08</x:v>
      </x:c>
      <x:c r="M25" s="8" t="str">
        <x:v>'Hi NOVAK jan' in a subject line costs more trust than no personalisation; low glamour, high visibility.</x:v>
      </x:c>
      <x:c r="N25" s="8" t="str">
        <x:v>Any personalised send</x:v>
      </x:c>
      <x:c r="O25" s="26" t="str">
        <x:v>Low</x:v>
      </x:c>
      <x:c r="P25" s="21" t="str">
        <x:v>Low</x:v>
      </x:c>
      <x:c r="Q25" s="8" t="str">
        <x:v>Normalise casing and field order from the richer source with approved batch upsert; placeholder names blanked so templates fall back gracefully.</x:v>
      </x:c>
      <x:c r="R25" s="8" t="str">
        <x:v>Automated writeback (approved)</x:v>
      </x:c>
      <x:c r="S25" s="8" t="str">
        <x:v>Klints (automated)</x:v>
      </x:c>
      <x:c r="T25" s="8" t="str">
        <x:v>Prior values in audit log; restorable.</x:v>
      </x:c>
      <x:c r="U25" s="21" t="str">
        <x:v>Initial</x:v>
      </x:c>
      <x:c r="V25" s="21" t="str">
        <x:v>N</x:v>
      </x:c>
      <x:c r="W25" s="21" t="str">
        <x:v>—</x:v>
      </x:c>
      <x:c r="X25" s="21" t="str">
        <x:v>P2</x:v>
      </x:c>
    </x:row>
    <x:row r="26" ht="42" hidden="0" customHeight="1">
      <x:c r="A26" s="22" t="str">
        <x:v>CI-11</x:v>
      </x:c>
      <x:c r="B26" s="16" t="str">
        <x:v>01 Customer Identity</x:v>
      </x:c>
      <x:c r="C26" s="16" t="str">
        <x:v>Address / country consistency</x:v>
      </x:c>
      <x:c r="D26" s="16" t="str">
        <x:v>Contact</x:v>
      </x:c>
      <x:c r="E26" s="16" t="str">
        <x:v>Manago vs Shopify vs ERP</x:v>
      </x:c>
      <x:c r="F26" s="16" t="str">
        <x:v>Cross-system reconciliation</x:v>
      </x:c>
      <x:c r="G26" s="16" t="str">
        <x:v>Country and city on linked identities agree across systems; ISO country normalisation; share of contacts with no country anywhere.</x:v>
      </x:c>
      <x:c r="H26" s="16" t="str">
        <x:v>contact address fields</x:v>
      </x:c>
      <x:c r="I26" s="16" t="str">
        <x:v>customers.default_address</x:v>
      </x:c>
      <x:c r="J26" s="16" t="str">
        <x:v>ERP customer master address</x:v>
      </x:c>
      <x:c r="K26" s="16" t="str">
        <x:v>Geo attributes conflict or are absent</x:v>
      </x:c>
      <x:c r="L26" s="16" t="str">
        <x:v>RC-02, RC-08</x:v>
      </x:c>
      <x:c r="M26" s="16" t="str">
        <x:v>Geo-segmented campaigns, tax/legal footers, and store-locale routing misfire; multi-geo governance impossible.</x:v>
      </x:c>
      <x:c r="N26" s="16" t="str">
        <x:v>Geo-segmented campaigns, locale routing</x:v>
      </x:c>
      <x:c r="O26" s="25" t="str">
        <x:v>Medium</x:v>
      </x:c>
      <x:c r="P26" s="23" t="str">
        <x:v>Medium</x:v>
      </x:c>
      <x:c r="Q26" s="16" t="str">
        <x:v>Adopt precedence rule (ERP &gt; commerce &gt; MA unless fresher); normalise to ISO codes; write back to Manago details with approval.</x:v>
      </x:c>
      <x:c r="R26" s="16" t="str">
        <x:v>Automated writeback (approved)</x:v>
      </x:c>
      <x:c r="S26" s="16" t="str">
        <x:v>Data lead</x:v>
      </x:c>
      <x:c r="T26" s="16" t="str">
        <x:v>Prior values in audit log.</x:v>
      </x:c>
      <x:c r="U26" s="23" t="str">
        <x:v>Initial</x:v>
      </x:c>
      <x:c r="V26" s="23" t="str">
        <x:v>N</x:v>
      </x:c>
      <x:c r="W26" s="23" t="str">
        <x:v>—</x:v>
      </x:c>
      <x:c r="X26" s="23" t="str">
        <x:v>P1</x:v>
      </x:c>
    </x:row>
    <x:row r="27" ht="42" hidden="0" customHeight="1">
      <x:c r="A27" s="19" t="str">
        <x:v>CI-12</x:v>
      </x:c>
      <x:c r="B27" s="8" t="str">
        <x:v>01 Customer Identity</x:v>
      </x:c>
      <x:c r="C27" s="8" t="str">
        <x:v>Birthday validity and plausibility</x:v>
      </x:c>
      <x:c r="D27" s="8" t="str">
        <x:v>Contact</x:v>
      </x:c>
      <x:c r="E27" s="8" t="str">
        <x:v>Manago</x:v>
      </x:c>
      <x:c r="F27" s="8" t="str">
        <x:v>Schema / format</x:v>
      </x:c>
      <x:c r="G27" s="8" t="str">
        <x:v>Birthday parseable, age within 13–100, not defaulted (1900-01-01, 1970-01-01 epoch artifacts); coverage share.</x:v>
      </x:c>
      <x:c r="H27" s="8" t="str">
        <x:v>contact birthday</x:v>
      </x:c>
      <x:c r="I27" s="8" t="str">
        <x:v>customers metafields (if used)</x:v>
      </x:c>
      <x:c r="J27" s="8" t="str">
        <x:v>—</x:v>
      </x:c>
      <x:c r="K27" s="8" t="str">
        <x:v>Corrupt or placeholder birthdays trigger wrong automations</x:v>
      </x:c>
      <x:c r="L27" s="8" t="str">
        <x:v>RC-08, RC-14</x:v>
      </x:c>
      <x:c r="M27" s="8" t="str">
        <x:v>Birthday flows fire for epoch-date cohorts on Jan 1; also a minor-age compliance surface.</x:v>
      </x:c>
      <x:c r="N27" s="8" t="str">
        <x:v>Birthday reward flow</x:v>
      </x:c>
      <x:c r="O27" s="26" t="str">
        <x:v>Low</x:v>
      </x:c>
      <x:c r="P27" s="21" t="str">
        <x:v>Low</x:v>
      </x:c>
      <x:c r="Q27" s="8" t="str">
        <x:v>Blank implausible values (approved batch); report coverage so the birthday workflow's reachable audience is honest.</x:v>
      </x:c>
      <x:c r="R27" s="8" t="str">
        <x:v>Automated writeback (approved)</x:v>
      </x:c>
      <x:c r="S27" s="8" t="str">
        <x:v>CRM manager</x:v>
      </x:c>
      <x:c r="T27" s="8" t="str">
        <x:v>Blanked values retained in audit log; restorable.</x:v>
      </x:c>
      <x:c r="U27" s="21" t="str">
        <x:v>Initial</x:v>
      </x:c>
      <x:c r="V27" s="21" t="str">
        <x:v>N</x:v>
      </x:c>
      <x:c r="W27" s="21" t="str">
        <x:v>—</x:v>
      </x:c>
      <x:c r="X27" s="21" t="str">
        <x:v>P2</x:v>
      </x:c>
    </x:row>
    <x:row r="28" ht="54" hidden="0" customHeight="1">
      <x:c r="A28" s="22" t="str">
        <x:v>CI-13</x:v>
      </x:c>
      <x:c r="B28" s="16" t="str">
        <x:v>01 Customer Identity</x:v>
      </x:c>
      <x:c r="C28" s="16" t="str">
        <x:v>Contact state distribution sanity</x:v>
      </x:c>
      <x:c r="D28" s="16" t="str">
        <x:v>Contact</x:v>
      </x:c>
      <x:c r="E28" s="16" t="str">
        <x:v>Manago</x:v>
      </x:c>
      <x:c r="F28" s="16" t="str">
        <x:v>Statistical anomaly</x:v>
      </x:c>
      <x:c r="G28" s="16" t="str">
        <x:v>Distribution of contact states (opt-in / opt-out / resigned / blocked) vs ICP benchmarks; spikes in blocked/resigned flagged with date clustering.</x:v>
      </x:c>
      <x:c r="H28" s="16" t="str">
        <x:v>contact state</x:v>
      </x:c>
      <x:c r="I28" s="16" t="str">
        <x:v>—</x:v>
      </x:c>
      <x:c r="J28" s="16" t="str">
        <x:v>—</x:v>
      </x:c>
      <x:c r="K28" s="16" t="str">
        <x:v>Abnormal share of dead states signals import damage or deliverability incident</x:v>
      </x:c>
      <x:c r="L28" s="16" t="str">
        <x:v>RC-08, RC-15</x:v>
      </x:c>
      <x:c r="M28" s="16" t="str">
        <x:v>A base that is 40% blocked is a deliverability crime scene — sending harder makes it worse; root incident must be found first.</x:v>
      </x:c>
      <x:c r="N28" s="16" t="str">
        <x:v>All email sends</x:v>
      </x:c>
      <x:c r="O28" s="25" t="str">
        <x:v>Medium</x:v>
      </x:c>
      <x:c r="P28" s="23" t="str">
        <x:v>Medium</x:v>
      </x:c>
      <x:c r="Q28" s="16" t="str">
        <x:v>Cluster state changes by date to locate the incident (bad import, blacklist event); remediation plan is investigative, not automated.</x:v>
      </x:c>
      <x:c r="R28" s="16" t="str">
        <x:v>Manual (guided)</x:v>
      </x:c>
      <x:c r="S28" s="16" t="str">
        <x:v>Data lead</x:v>
      </x:c>
      <x:c r="T28" s="16" t="str">
        <x:v>N/A — read-only analysis.</x:v>
      </x:c>
      <x:c r="U28" s="23" t="str">
        <x:v>Initial + Recurring</x:v>
      </x:c>
      <x:c r="V28" s="23" t="str">
        <x:v>N</x:v>
      </x:c>
      <x:c r="W28" s="23" t="str">
        <x:v>—</x:v>
      </x:c>
      <x:c r="X28" s="23" t="str">
        <x:v>P1</x:v>
      </x:c>
    </x:row>
    <x:row r="29" ht="42" hidden="0" customHeight="1">
      <x:c r="A29" s="19" t="str">
        <x:v>CI-14</x:v>
      </x:c>
      <x:c r="B29" s="8" t="str">
        <x:v>01 Customer Identity</x:v>
      </x:c>
      <x:c r="C29" s="8" t="str">
        <x:v>Web identity match rate</x:v>
      </x:c>
      <x:c r="D29" s="8" t="str">
        <x:v>Contact / Visitor</x:v>
      </x:c>
      <x:c r="E29" s="8" t="str">
        <x:v>Manago</x:v>
      </x:c>
      <x:c r="F29" s="8" t="str">
        <x:v>Statistical anomaly</x:v>
      </x:c>
      <x:c r="G29" s="8" t="str">
        <x:v>Share of monitored visits attached to identified contacts (smclient linkage) vs anonymous; benchmark against traffic mix.</x:v>
      </x:c>
      <x:c r="H29" s="8" t="str">
        <x:v>smclient cookie, VISIT events</x:v>
      </x:c>
      <x:c r="I29" s="8" t="str">
        <x:v>storefront traffic (GA-comparable volume, optional)</x:v>
      </x:c>
      <x:c r="J29" s="8" t="str">
        <x:v>—</x:v>
      </x:c>
      <x:c r="K29" s="8" t="str">
        <x:v>Identification pipeline underperforming — visits not linked to contacts</x:v>
      </x:c>
      <x:c r="L29" s="8" t="str">
        <x:v>RC-12, RC-03</x:v>
      </x:c>
      <x:c r="M29" s="8" t="str">
        <x:v>Browse-abandonment and on-site personalisation address only the identified slice; a low match rate quietly caps those workflows' revenue.</x:v>
      </x:c>
      <x:c r="N29" s="8" t="str">
        <x:v>Browse abandonment, on-site personalisation</x:v>
      </x:c>
      <x:c r="O29" s="25" t="str">
        <x:v>Medium</x:v>
      </x:c>
      <x:c r="P29" s="21" t="str">
        <x:v>Medium</x:v>
      </x:c>
      <x:c r="Q29" s="8" t="str">
        <x:v>Verify identification touchpoints (login, checkout, email-click landing) pass identity to the monitoring code; fix via SDK/theme integration.</x:v>
      </x:c>
      <x:c r="R29" s="8" t="str">
        <x:v>Integration build</x:v>
      </x:c>
      <x:c r="S29" s="8" t="str">
        <x:v>External integrator</x:v>
      </x:c>
      <x:c r="T29" s="8" t="str">
        <x:v>Script-level change; revert restores prior behaviour.</x:v>
      </x:c>
      <x:c r="U29" s="21" t="str">
        <x:v>Initial + Recurring</x:v>
      </x:c>
      <x:c r="V29" s="21" t="str">
        <x:v>N</x:v>
      </x:c>
      <x:c r="W29" s="21" t="str">
        <x:v>—</x:v>
      </x:c>
      <x:c r="X29" s="21" t="str">
        <x:v>P1</x:v>
      </x:c>
    </x:row>
    <x:row r="30" ht="42" hidden="0" customHeight="1">
      <x:c r="A30" s="22" t="str">
        <x:v>CI-15</x:v>
      </x:c>
      <x:c r="B30" s="16" t="str">
        <x:v>01 Customer Identity</x:v>
      </x:c>
      <x:c r="C30" s="16" t="str">
        <x:v>Contact record freshness</x:v>
      </x:c>
      <x:c r="D30" s="16" t="str">
        <x:v>Contact</x:v>
      </x:c>
      <x:c r="E30" s="16" t="str">
        <x:v>Manago</x:v>
      </x:c>
      <x:c r="F30" s="16" t="str">
        <x:v>Freshness</x:v>
      </x:c>
      <x:c r="G30" s="16" t="str">
        <x:v>Distribution of modifiedOn across the base; share untouched &gt; 24 months; freshness of linked pairs vs Shopify updated_at.</x:v>
      </x:c>
      <x:c r="H30" s="16" t="str">
        <x:v>contact modifiedOn</x:v>
      </x:c>
      <x:c r="I30" s="16" t="str">
        <x:v>customers.updated_at</x:v>
      </x:c>
      <x:c r="J30" s="16" t="str">
        <x:v>—</x:v>
      </x:c>
      <x:c r="K30" s="16" t="str">
        <x:v>Large stale cohort — records no pipeline has touched in years</x:v>
      </x:c>
      <x:c r="L30" s="16" t="str">
        <x:v>RC-09, RC-01</x:v>
      </x:c>
      <x:c r="M30" s="16" t="str">
        <x:v>Stale records mean the sync has holes or the base carries dead weight; either way segment counts overstate the live audience.</x:v>
      </x:c>
      <x:c r="N30" s="16" t="str">
        <x:v>All segmentation</x:v>
      </x:c>
      <x:c r="O30" s="26" t="str">
        <x:v>Low</x:v>
      </x:c>
      <x:c r="P30" s="23" t="str">
        <x:v>Medium</x:v>
      </x:c>
      <x:c r="Q30" s="16" t="str">
        <x:v>Cross-reference stale cohort with CI-07 gap analysis; recommend engagement-based sunset segment rather than deletion.</x:v>
      </x:c>
      <x:c r="R30" s="16" t="str">
        <x:v>Manual (guided)</x:v>
      </x:c>
      <x:c r="S30" s="16" t="str">
        <x:v>CRM manager</x:v>
      </x:c>
      <x:c r="T30" s="16" t="str">
        <x:v>N/A — read-only analysis.</x:v>
      </x:c>
      <x:c r="U30" s="23" t="str">
        <x:v>Initial</x:v>
      </x:c>
      <x:c r="V30" s="23" t="str">
        <x:v>N</x:v>
      </x:c>
      <x:c r="W30" s="23" t="str">
        <x:v>—</x:v>
      </x:c>
      <x:c r="X30" s="23" t="str">
        <x:v>P2</x:v>
      </x:c>
    </x:row>
    <x:row r="31" ht="54" hidden="0" customHeight="1">
      <x:c r="A31" s="19" t="str">
        <x:v>CI-16</x:v>
      </x:c>
      <x:c r="B31" s="8" t="str">
        <x:v>01 Customer Identity</x:v>
      </x:c>
      <x:c r="C31" s="8" t="str">
        <x:v>ERP customer master linkage</x:v>
      </x:c>
      <x:c r="D31" s="8" t="str">
        <x:v>Customer</x:v>
      </x:c>
      <x:c r="E31" s="8" t="str">
        <x:v>ERP vs Shopify vs Manago</x:v>
      </x:c>
      <x:c r="F31" s="8" t="str">
        <x:v>Referential integrity</x:v>
      </x:c>
      <x:c r="G31" s="8" t="str">
        <x:v>ERP customer identifiers joinable to Shopify customers (and thus Manago contacts); measure three-way join coverage.</x:v>
      </x:c>
      <x:c r="H31" s="8" t="str">
        <x:v>contact externalId or klints_erp_id detail</x:v>
      </x:c>
      <x:c r="I31" s="8" t="str">
        <x:v>customers.id / email</x:v>
      </x:c>
      <x:c r="J31" s="8" t="str">
        <x:v>ERP customer number, email</x:v>
      </x:c>
      <x:c r="K31" s="8" t="str">
        <x:v>ERP truth cannot be attached to marketing identities</x:v>
      </x:c>
      <x:c r="L31" s="8" t="str">
        <x:v>RC-01, RC-02</x:v>
      </x:c>
      <x:c r="M31" s="8" t="str">
        <x:v>Business Reality checks (credit status, B2B terms, true margin per customer) cannot reach the contact level without this join.</x:v>
      </x:c>
      <x:c r="N31" s="8" t="str">
        <x:v>ERP-aware flows, margin-safe VIP</x:v>
      </x:c>
      <x:c r="O31" s="24" t="str">
        <x:v>High</x:v>
      </x:c>
      <x:c r="P31" s="21" t="str">
        <x:v>High</x:v>
      </x:c>
      <x:c r="Q31" s="8" t="str">
        <x:v>Establish mapping table in Klints canonical model; where email is the only join key, flag confidence per match; write klints_erp_id detail with approval.</x:v>
      </x:c>
      <x:c r="R31" s="8" t="str">
        <x:v>Automated writeback (approved)</x:v>
      </x:c>
      <x:c r="S31" s="8" t="str">
        <x:v>Data lead</x:v>
      </x:c>
      <x:c r="T31" s="8" t="str">
        <x:v>klints_erp_id detail removable in bulk.</x:v>
      </x:c>
      <x:c r="U31" s="21" t="str">
        <x:v>Initial</x:v>
      </x:c>
      <x:c r="V31" s="21" t="str">
        <x:v>Y</x:v>
      </x:c>
      <x:c r="W31" s="28" t="str">
        <x:v>T2 Identity key repair</x:v>
      </x:c>
      <x:c r="X31" s="21" t="str">
        <x:v>P1</x:v>
      </x:c>
    </x:row>
    <x:row r="32" ht="15.75" hidden="0" customHeight="1">
      <x:c r="A32" s="5" t="str">
        <x:v>02 Lifecycle Event</x:v>
      </x:c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</x:row>
    <x:row r="33" ht="66" hidden="0" customHeight="1">
      <x:c r="A33" s="19" t="str">
        <x:v>LE-01</x:v>
      </x:c>
      <x:c r="B33" s="8" t="str">
        <x:v>02 Lifecycle Event</x:v>
      </x:c>
      <x:c r="C33" s="8" t="str">
        <x:v>Purchase event count parity</x:v>
      </x:c>
      <x:c r="D33" s="8" t="str">
        <x:v>Order / PURCHASE event</x:v>
      </x:c>
      <x:c r="E33" s="8" t="str">
        <x:v>Manago vs Shopify</x:v>
      </x:c>
      <x:c r="F33" s="8" t="str">
        <x:v>Cross-system reconciliation</x:v>
      </x:c>
      <x:c r="G33" s="8" t="str">
        <x:v>Per calendar month in common window: count Shopify orders (paid, non-test) vs Manago PURCHASE events; flag months deviating &gt; 2%.</x:v>
      </x:c>
      <x:c r="H33" s="8" t="str">
        <x:v>External Events type=PURCHASE</x:v>
      </x:c>
      <x:c r="I33" s="8" t="str">
        <x:v>orders (financial_status=paid, test=false)</x:v>
      </x:c>
      <x:c r="J33" s="8" t="str">
        <x:v>—</x:v>
      </x:c>
      <x:c r="K33" s="8" t="str">
        <x:v>Orders exist that never became PURCHASE events (or vice versa)</x:v>
      </x:c>
      <x:c r="L33" s="8" t="str">
        <x:v>RC-01, RC-05, RC-15</x:v>
      </x:c>
      <x:c r="M33" s="8" t="str">
        <x:v>Transaction analytics, RFM and purchase-triggered automations run on an incomplete order universe; every missing event is a missed trigger.</x:v>
      </x:c>
      <x:c r="N33" s="8" t="str">
        <x:v>Post-purchase, cross-sell, RFM segments</x:v>
      </x:c>
      <x:c r="O33" s="20" t="str">
        <x:v>Critical</x:v>
      </x:c>
      <x:c r="P33" s="21" t="str">
        <x:v>High</x:v>
      </x:c>
      <x:c r="Q33" s="8" t="str">
        <x:v>Order-level diff (LE-05) identifies exact gaps; backfill missing PURCHASE events via batchAddContactExtEvent with externalId=order ID; repair the live pipe if lag-pattern indicates ongoing loss.</x:v>
      </x:c>
      <x:c r="R33" s="8" t="str">
        <x:v>Automated writeback (approved)</x:v>
      </x:c>
      <x:c r="S33" s="8" t="str">
        <x:v>Klints (automated)</x:v>
      </x:c>
      <x:c r="T33" s="8" t="str">
        <x:v>Backfilled events carry klints_backfill in detail20; identifiable, though event deletion support is limited — approval screen must state permanence.</x:v>
      </x:c>
      <x:c r="U33" s="21" t="str">
        <x:v>Initial + Recurring</x:v>
      </x:c>
      <x:c r="V33" s="21" t="str">
        <x:v>Y</x:v>
      </x:c>
      <x:c r="W33" s="28" t="str">
        <x:v>T5 Event backfill</x:v>
      </x:c>
      <x:c r="X33" s="21" t="str">
        <x:v>P0</x:v>
      </x:c>
    </x:row>
    <x:row r="34" ht="66" hidden="0" customHeight="1">
      <x:c r="A34" s="22" t="str">
        <x:v>LE-02</x:v>
      </x:c>
      <x:c r="B34" s="16" t="str">
        <x:v>02 Lifecycle Event</x:v>
      </x:c>
      <x:c r="C34" s="16" t="str">
        <x:v>Purchase value parity</x:v>
      </x:c>
      <x:c r="D34" s="16" t="str">
        <x:v>Order / PURCHASE event</x:v>
      </x:c>
      <x:c r="E34" s="16" t="str">
        <x:v>Manago vs Shopify</x:v>
      </x:c>
      <x:c r="F34" s="16" t="str">
        <x:v>Cross-system reconciliation</x:v>
      </x:c>
      <x:c r="G34" s="16" t="str">
        <x:v>Sum of PURCHASE event value vs sum of Shopify order totals per month; decompose deviation into missing events (LE-01), value-field errors, and gross/net definition drift.</x:v>
      </x:c>
      <x:c r="H34" s="16" t="str">
        <x:v>PURCHASE event value (float 7.2)</x:v>
      </x:c>
      <x:c r="I34" s="16" t="str">
        <x:v>orders.total_price / subtotal_price</x:v>
      </x:c>
      <x:c r="J34" s="16" t="str">
        <x:v>—</x:v>
      </x:c>
      <x:c r="K34" s="16" t="str">
        <x:v>Revenue totals disagree between systems</x:v>
      </x:c>
      <x:c r="L34" s="16" t="str">
        <x:v>RC-02, RC-13, RC-14</x:v>
      </x:c>
      <x:c r="M34" s="16" t="str">
        <x:v>Marketing revenue reporting loses credibility with finance; value-based segments (VIP thresholds) mis-assign customers.</x:v>
      </x:c>
      <x:c r="N34" s="16" t="str">
        <x:v>VIP progression, value-tiered flows, reporting</x:v>
      </x:c>
      <x:c r="O34" s="24" t="str">
        <x:v>High</x:v>
      </x:c>
      <x:c r="P34" s="23" t="str">
        <x:v>High</x:v>
      </x:c>
      <x:c r="Q34" s="16" t="str">
        <x:v>Fix value-mapping definition (decide gross vs net incl. shipping/tax, document in mapping config); correct systematically wrong events where updateContactExtEvent is safe; note update is not upsert — all fields must be resent.</x:v>
      </x:c>
      <x:c r="R34" s="16" t="str">
        <x:v>Automated writeback (approved)</x:v>
      </x:c>
      <x:c r="S34" s="16" t="str">
        <x:v>Klints (automated)</x:v>
      </x:c>
      <x:c r="T34" s="16" t="str">
        <x:v>Event updates overwrite; prior values held in Klints raw layer for reference, not restorable in Manago.</x:v>
      </x:c>
      <x:c r="U34" s="23" t="str">
        <x:v>Initial + Recurring</x:v>
      </x:c>
      <x:c r="V34" s="23" t="str">
        <x:v>Y</x:v>
      </x:c>
      <x:c r="W34" s="27" t="str">
        <x:v>T6 Event correction</x:v>
      </x:c>
      <x:c r="X34" s="23" t="str">
        <x:v>P0</x:v>
      </x:c>
    </x:row>
    <x:row r="35" ht="54" hidden="0" customHeight="1">
      <x:c r="A35" s="19" t="str">
        <x:v>LE-03</x:v>
      </x:c>
      <x:c r="B35" s="8" t="str">
        <x:v>02 Lifecycle Event</x:v>
      </x:c>
      <x:c r="C35" s="8" t="str">
        <x:v>Order ID (externalId) presence on events</x:v>
      </x:c>
      <x:c r="D35" s="8" t="str">
        <x:v>PURCHASE event</x:v>
      </x:c>
      <x:c r="E35" s="8" t="str">
        <x:v>Manago</x:v>
      </x:c>
      <x:c r="F35" s="8" t="str">
        <x:v>Presence</x:v>
      </x:c>
      <x:c r="G35" s="8" t="str">
        <x:v>Share of PURCHASE events carrying externalId; without it, order-level reconciliation degrades to date+value heuristics.</x:v>
      </x:c>
      <x:c r="H35" s="8" t="str">
        <x:v>event externalId</x:v>
      </x:c>
      <x:c r="I35" s="8" t="str">
        <x:v>orders.id / order_number</x:v>
      </x:c>
      <x:c r="J35" s="8" t="str">
        <x:v>—</x:v>
      </x:c>
      <x:c r="K35" s="8" t="str">
        <x:v>Events not joinable to their source orders</x:v>
      </x:c>
      <x:c r="L35" s="8" t="str">
        <x:v>RC-02, RC-13</x:v>
      </x:c>
      <x:c r="M35" s="8" t="str">
        <x:v>Deduplication, refund matching and per-order attribution all depend on this key; its absence multiplies every other reconciliation's cost.</x:v>
      </x:c>
      <x:c r="N35" s="8" t="str">
        <x:v>All order-linked automation logic</x:v>
      </x:c>
      <x:c r="O35" s="24" t="str">
        <x:v>High</x:v>
      </x:c>
      <x:c r="P35" s="21" t="str">
        <x:v>High</x:v>
      </x:c>
      <x:c r="Q35" s="8" t="str">
        <x:v>Enforce externalId on the integration going forward; historical events without it matched heuristically and left as-is (update risk exceeds value).</x:v>
      </x:c>
      <x:c r="R35" s="8" t="str">
        <x:v>Integration build</x:v>
      </x:c>
      <x:c r="S35" s="8" t="str">
        <x:v>External integrator</x:v>
      </x:c>
      <x:c r="T35" s="8" t="str">
        <x:v>Forward-only fix; no historical rewrite.</x:v>
      </x:c>
      <x:c r="U35" s="21" t="str">
        <x:v>Initial</x:v>
      </x:c>
      <x:c r="V35" s="21" t="str">
        <x:v>N</x:v>
      </x:c>
      <x:c r="W35" s="21" t="str">
        <x:v>—</x:v>
      </x:c>
      <x:c r="X35" s="21" t="str">
        <x:v>P0</x:v>
      </x:c>
    </x:row>
    <x:row r="36" ht="78" hidden="0" customHeight="1">
      <x:c r="A36" s="22" t="str">
        <x:v>LE-04</x:v>
      </x:c>
      <x:c r="B36" s="16" t="str">
        <x:v>02 Lifecycle Event</x:v>
      </x:c>
      <x:c r="C36" s="16" t="str">
        <x:v>Duplicate purchase events per order</x:v>
      </x:c>
      <x:c r="D36" s="16" t="str">
        <x:v>PURCHASE event</x:v>
      </x:c>
      <x:c r="E36" s="16" t="str">
        <x:v>Manago</x:v>
      </x:c>
      <x:c r="F36" s="16" t="str">
        <x:v>Uniqueness</x:v>
      </x:c>
      <x:c r="G36" s="16" t="str">
        <x:v>Multiple PURCHASE events sharing one externalId (or same contact+date+value where externalId absent); duplicate rate over time.</x:v>
      </x:c>
      <x:c r="H36" s="16" t="str">
        <x:v>events (externalId)</x:v>
      </x:c>
      <x:c r="I36" s="16" t="str">
        <x:v>orders.id</x:v>
      </x:c>
      <x:c r="J36" s="16" t="str">
        <x:v>—</x:v>
      </x:c>
      <x:c r="K36" s="16" t="str">
        <x:v>One order counted twice or more</x:v>
      </x:c>
      <x:c r="L36" s="16" t="str">
        <x:v>RC-04, RC-05, RC-13</x:v>
      </x:c>
      <x:c r="M36" s="16" t="str">
        <x:v>Inflated purchase frequency promotes customers into wrong RFM segments and VIP tiers; revenue double-counted; post-purchase flows fire twice.</x:v>
      </x:c>
      <x:c r="N36" s="16" t="str">
        <x:v>RFM, VIP progression, post-purchase</x:v>
      </x:c>
      <x:c r="O36" s="24" t="str">
        <x:v>High</x:v>
      </x:c>
      <x:c r="P36" s="23" t="str">
        <x:v>High</x:v>
      </x:c>
      <x:c r="Q36" s="16" t="str">
        <x:v>Identify duplicate clusters; keep earliest event; integration fix for the duplication source (usually retry without idempotency); Manago event deletion is limited — where removal is impossible, mark duplicates in detail and exclude in Klints canonical layer.</x:v>
      </x:c>
      <x:c r="R36" s="16" t="str">
        <x:v>Integration build + Manual (guided)</x:v>
      </x:c>
      <x:c r="S36" s="16" t="str">
        <x:v>External integrator</x:v>
      </x:c>
      <x:c r="T36" s="16" t="str">
        <x:v>Canonical-layer exclusion fully reversible; Manago-side marks removable.</x:v>
      </x:c>
      <x:c r="U36" s="23" t="str">
        <x:v>Initial + Recurring</x:v>
      </x:c>
      <x:c r="V36" s="23" t="str">
        <x:v>Y</x:v>
      </x:c>
      <x:c r="W36" s="27" t="str">
        <x:v>T6 Event correction</x:v>
      </x:c>
      <x:c r="X36" s="23" t="str">
        <x:v>P0</x:v>
      </x:c>
    </x:row>
    <x:row r="37" ht="42" hidden="0" customHeight="1">
      <x:c r="A37" s="19" t="str">
        <x:v>LE-05</x:v>
      </x:c>
      <x:c r="B37" s="8" t="str">
        <x:v>02 Lifecycle Event</x:v>
      </x:c>
      <x:c r="C37" s="8" t="str">
        <x:v>Order-level event gap list</x:v>
      </x:c>
      <x:c r="D37" s="8" t="str">
        <x:v>Order</x:v>
      </x:c>
      <x:c r="E37" s="8" t="str">
        <x:v>Shopify vs Manago</x:v>
      </x:c>
      <x:c r="F37" s="8" t="str">
        <x:v>Cross-system reconciliation</x:v>
      </x:c>
      <x:c r="G37" s="8" t="str">
        <x:v>Exact diff: every paid Shopify order without a matching PURCHASE event (by externalId, fallback heuristic), and every event without an order.</x:v>
      </x:c>
      <x:c r="H37" s="8" t="str">
        <x:v>events export</x:v>
      </x:c>
      <x:c r="I37" s="8" t="str">
        <x:v>orders</x:v>
      </x:c>
      <x:c r="J37" s="8" t="str">
        <x:v>—</x:v>
      </x:c>
      <x:c r="K37" s="8" t="str">
        <x:v>Named, order-level gaps behind LE-01's aggregate deviation</x:v>
      </x:c>
      <x:c r="L37" s="8" t="str">
        <x:v>RC-01, RC-05, RC-15</x:v>
      </x:c>
      <x:c r="M37" s="8" t="str">
        <x:v>This is the actionable form of the parity checks — the fix operates on this list.</x:v>
      </x:c>
      <x:c r="N37" s="8" t="str">
        <x:v>Same as LE-01</x:v>
      </x:c>
      <x:c r="O37" s="20" t="str">
        <x:v>Critical</x:v>
      </x:c>
      <x:c r="P37" s="21" t="str">
        <x:v>High</x:v>
      </x:c>
      <x:c r="Q37" s="8" t="str">
        <x:v>Approved batch backfill from this list (1000/batch); recheck parity after sync; recurring version guards the live pipe.</x:v>
      </x:c>
      <x:c r="R37" s="8" t="str">
        <x:v>Automated writeback (approved)</x:v>
      </x:c>
      <x:c r="S37" s="8" t="str">
        <x:v>Klints (automated)</x:v>
      </x:c>
      <x:c r="T37" s="8" t="str">
        <x:v>Same as LE-01.</x:v>
      </x:c>
      <x:c r="U37" s="21" t="str">
        <x:v>Initial + Recurring</x:v>
      </x:c>
      <x:c r="V37" s="21" t="str">
        <x:v>Y</x:v>
      </x:c>
      <x:c r="W37" s="28" t="str">
        <x:v>T5 Event backfill</x:v>
      </x:c>
      <x:c r="X37" s="21" t="str">
        <x:v>P0</x:v>
      </x:c>
    </x:row>
    <x:row r="38" ht="54" hidden="0" customHeight="1">
      <x:c r="A38" s="22" t="str">
        <x:v>LE-06</x:v>
      </x:c>
      <x:c r="B38" s="16" t="str">
        <x:v>02 Lifecycle Event</x:v>
      </x:c>
      <x:c r="C38" s="16" t="str">
        <x:v>Event timestamp sanity</x:v>
      </x:c>
      <x:c r="D38" s="16" t="str">
        <x:v>External Event</x:v>
      </x:c>
      <x:c r="E38" s="16" t="str">
        <x:v>Manago</x:v>
      </x:c>
      <x:c r="F38" s="16" t="str">
        <x:v>Schema / format</x:v>
      </x:c>
      <x:c r="G38" s="16" t="str">
        <x:v>Detect events with future dates, pre-founding dates, or second-vs-millisecond epoch confusion (dates in 1970 or 52,000 AD).</x:v>
      </x:c>
      <x:c r="H38" s="16" t="str">
        <x:v>event date (UNIX ms)</x:v>
      </x:c>
      <x:c r="I38" s="16" t="str">
        <x:v>orders.created_at</x:v>
      </x:c>
      <x:c r="J38" s="16" t="str">
        <x:v>—</x:v>
      </x:c>
      <x:c r="K38" s="16" t="str">
        <x:v>Timestamps corrupt at ingestion (unit confusion is the classic)</x:v>
      </x:c>
      <x:c r="L38" s="16" t="str">
        <x:v>RC-13, RC-14</x:v>
      </x:c>
      <x:c r="M38" s="16" t="str">
        <x:v>Time-windowed segments and 'days since purchase' triggers misfire; a 1970 purchase makes a loyal customer look 55 years lapsed.</x:v>
      </x:c>
      <x:c r="N38" s="16" t="str">
        <x:v>Replenishment, winback, time-window segments</x:v>
      </x:c>
      <x:c r="O38" s="24" t="str">
        <x:v>High</x:v>
      </x:c>
      <x:c r="P38" s="23" t="str">
        <x:v>High</x:v>
      </x:c>
      <x:c r="Q38" s="16" t="str">
        <x:v>Fix unit conversion in the integration; corrupt events re-dated via update where externalId allows confident matching; unmatched corrupt events excluded in canonical layer.</x:v>
      </x:c>
      <x:c r="R38" s="16" t="str">
        <x:v>Integration build + Automated writeback (approved)</x:v>
      </x:c>
      <x:c r="S38" s="16" t="str">
        <x:v>External integrator</x:v>
      </x:c>
      <x:c r="T38" s="16" t="str">
        <x:v>Updates overwrite (not restorable in Manago); canonical exclusions reversible.</x:v>
      </x:c>
      <x:c r="U38" s="23" t="str">
        <x:v>Initial</x:v>
      </x:c>
      <x:c r="V38" s="23" t="str">
        <x:v>Y</x:v>
      </x:c>
      <x:c r="W38" s="27" t="str">
        <x:v>T4 Field normalisation</x:v>
      </x:c>
      <x:c r="X38" s="23" t="str">
        <x:v>P0</x:v>
      </x:c>
    </x:row>
    <x:row r="39" ht="54" hidden="0" customHeight="1">
      <x:c r="A39" s="19" t="str">
        <x:v>LE-07</x:v>
      </x:c>
      <x:c r="B39" s="8" t="str">
        <x:v>02 Lifecycle Event</x:v>
      </x:c>
      <x:c r="C39" s="8" t="str">
        <x:v>Cart event coverage</x:v>
      </x:c>
      <x:c r="D39" s="8" t="str">
        <x:v>Checkout / CART event</x:v>
      </x:c>
      <x:c r="E39" s="8" t="str">
        <x:v>Shopify vs Manago</x:v>
      </x:c>
      <x:c r="F39" s="8" t="str">
        <x:v>Cross-system reconciliation</x:v>
      </x:c>
      <x:c r="G39" s="8" t="str">
        <x:v>Shopify abandoned checkouts vs Manago CART events in window; measure capture rate and identity linkage (email present at abandonment).</x:v>
      </x:c>
      <x:c r="H39" s="8" t="str">
        <x:v>External Events type=CART</x:v>
      </x:c>
      <x:c r="I39" s="8" t="str">
        <x:v>checkouts (abandoned)</x:v>
      </x:c>
      <x:c r="J39" s="8" t="str">
        <x:v>—</x:v>
      </x:c>
      <x:c r="K39" s="8" t="str">
        <x:v>Abandoned carts not reaching the marketing platform</x:v>
      </x:c>
      <x:c r="L39" s="8" t="str">
        <x:v>RC-01, RC-03</x:v>
      </x:c>
      <x:c r="M39" s="8" t="str">
        <x:v>Cart-abandonment is typically a top-3 revenue flow; every uncaptured cart is directly lost recovery revenue.</x:v>
      </x:c>
      <x:c r="N39" s="8" t="str">
        <x:v>Cart abandonment</x:v>
      </x:c>
      <x:c r="O39" s="24" t="str">
        <x:v>High</x:v>
      </x:c>
      <x:c r="P39" s="21" t="str">
        <x:v>High</x:v>
      </x:c>
      <x:c r="Q39" s="8" t="str">
        <x:v>Repair CART event pipe (add/update via eventId, stored per cart); guest carts without email are a capture-point problem (exit-intent email capture opportunity), not a data fix.</x:v>
      </x:c>
      <x:c r="R39" s="8" t="str">
        <x:v>Integration build</x:v>
      </x:c>
      <x:c r="S39" s="8" t="str">
        <x:v>External integrator</x:v>
      </x:c>
      <x:c r="T39" s="8" t="str">
        <x:v>Forward-only.</x:v>
      </x:c>
      <x:c r="U39" s="21" t="str">
        <x:v>Initial + Recurring</x:v>
      </x:c>
      <x:c r="V39" s="21" t="str">
        <x:v>Y</x:v>
      </x:c>
      <x:c r="W39" s="28" t="str">
        <x:v>T5 Event backfill</x:v>
      </x:c>
      <x:c r="X39" s="21" t="str">
        <x:v>P0</x:v>
      </x:c>
    </x:row>
    <x:row r="40" ht="42" hidden="0" customHeight="1">
      <x:c r="A40" s="22" t="str">
        <x:v>LE-08</x:v>
      </x:c>
      <x:c r="B40" s="16" t="str">
        <x:v>02 Lifecycle Event</x:v>
      </x:c>
      <x:c r="C40" s="16" t="str">
        <x:v>Stale open carts</x:v>
      </x:c>
      <x:c r="D40" s="16" t="str">
        <x:v>CART event</x:v>
      </x:c>
      <x:c r="E40" s="16" t="str">
        <x:v>Manago</x:v>
      </x:c>
      <x:c r="F40" s="16" t="str">
        <x:v>Freshness</x:v>
      </x:c>
      <x:c r="G40" s="16" t="str">
        <x:v>CART events never updated to reflect purchase or expiry; share of open carts older than N days still eligible to trigger automations.</x:v>
      </x:c>
      <x:c r="H40" s="16" t="str">
        <x:v>CART events (eventId reuse, updateContactExtEvent)</x:v>
      </x:c>
      <x:c r="I40" s="16" t="str">
        <x:v>checkouts.completed_at / orders</x:v>
      </x:c>
      <x:c r="J40" s="16" t="str">
        <x:v>—</x:v>
      </x:c>
      <x:c r="K40" s="16" t="str">
        <x:v>Carts remain 'open' after purchase or abandonment window</x:v>
      </x:c>
      <x:c r="L40" s="16" t="str">
        <x:v>RC-05, RC-13</x:v>
      </x:c>
      <x:c r="M40" s="16" t="str">
        <x:v>Customers receive cart-recovery nudges for products they already bought — the most visible way to look broken.</x:v>
      </x:c>
      <x:c r="N40" s="16" t="str">
        <x:v>Cart abandonment</x:v>
      </x:c>
      <x:c r="O40" s="25" t="str">
        <x:v>Medium</x:v>
      </x:c>
      <x:c r="P40" s="23" t="str">
        <x:v>Medium</x:v>
      </x:c>
      <x:c r="Q40" s="16" t="str">
        <x:v>Integration must update the CART event on completion (stored eventId; update is not upsert — resend all details); close stale carts by rule.</x:v>
      </x:c>
      <x:c r="R40" s="16" t="str">
        <x:v>Integration build + Automated writeback (approved)</x:v>
      </x:c>
      <x:c r="S40" s="16" t="str">
        <x:v>External integrator</x:v>
      </x:c>
      <x:c r="T40" s="16" t="str">
        <x:v>Updates overwrite; acceptable for cart state.</x:v>
      </x:c>
      <x:c r="U40" s="23" t="str">
        <x:v>Initial + Recurring</x:v>
      </x:c>
      <x:c r="V40" s="23" t="str">
        <x:v>N</x:v>
      </x:c>
      <x:c r="W40" s="23" t="str">
        <x:v>—</x:v>
      </x:c>
      <x:c r="X40" s="23" t="str">
        <x:v>P1</x:v>
      </x:c>
    </x:row>
    <x:row r="41" ht="54" hidden="0" customHeight="1">
      <x:c r="A41" s="19" t="str">
        <x:v>LE-09</x:v>
      </x:c>
      <x:c r="B41" s="8" t="str">
        <x:v>02 Lifecycle Event</x:v>
      </x:c>
      <x:c r="C41" s="8" t="str">
        <x:v>Returns and cancellations reflected</x:v>
      </x:c>
      <x:c r="D41" s="8" t="str">
        <x:v>Refund / RETURN event</x:v>
      </x:c>
      <x:c r="E41" s="8" t="str">
        <x:v>Shopify vs Manago</x:v>
      </x:c>
      <x:c r="F41" s="8" t="str">
        <x:v>Cross-system reconciliation</x:v>
      </x:c>
      <x:c r="G41" s="8" t="str">
        <x:v>Shopify refunds and cancelled orders vs Manago RETURN / CANCELLATION events matched on externalId; measure coverage and value parity of the return stream.</x:v>
      </x:c>
      <x:c r="H41" s="8" t="str">
        <x:v>External Events type=RETURN / CANCELLATION</x:v>
      </x:c>
      <x:c r="I41" s="8" t="str">
        <x:v>refunds, orders.cancelled_at</x:v>
      </x:c>
      <x:c r="J41" s="8" t="str">
        <x:v>ERP credit notes (cross-check)</x:v>
      </x:c>
      <x:c r="K41" s="8" t="str">
        <x:v>Returns exist in commerce but the marketing platform never learns of them</x:v>
      </x:c>
      <x:c r="L41" s="8" t="str">
        <x:v>RC-01</x:v>
      </x:c>
      <x:c r="M41" s="8" t="str">
        <x:v>Per-contact transaction totals overstated; serial returners scored as VIPs; churn signals missed; margin reality invisible to lifecycle logic.</x:v>
      </x:c>
      <x:c r="N41" s="8" t="str">
        <x:v>RFM, VIP progression, churn-risk save, margin-safe flows</x:v>
      </x:c>
      <x:c r="O41" s="20" t="str">
        <x:v>Critical</x:v>
      </x:c>
      <x:c r="P41" s="21" t="str">
        <x:v>High</x:v>
      </x:c>
      <x:c r="Q41" s="8" t="str">
        <x:v>Build the returns pipe: RETURN events via addContactExtEvent with externalId=order ID and value=refund amount; historical backfill for common window; recurring parity check thereafter.</x:v>
      </x:c>
      <x:c r="R41" s="8" t="str">
        <x:v>Integration build + Automated writeback (approved)</x:v>
      </x:c>
      <x:c r="S41" s="8" t="str">
        <x:v>Klints (automated)</x:v>
      </x:c>
      <x:c r="T41" s="8" t="str">
        <x:v>Backfilled events carry klints_backfill marker; treated as permanent (state approval clearly).</x:v>
      </x:c>
      <x:c r="U41" s="21" t="str">
        <x:v>Initial + Recurring</x:v>
      </x:c>
      <x:c r="V41" s="21" t="str">
        <x:v>Y</x:v>
      </x:c>
      <x:c r="W41" s="28" t="str">
        <x:v>T5 Event backfill</x:v>
      </x:c>
      <x:c r="X41" s="21" t="str">
        <x:v>P0</x:v>
      </x:c>
    </x:row>
    <x:row r="42" ht="66" hidden="0" customHeight="1">
      <x:c r="A42" s="22" t="str">
        <x:v>LE-10</x:v>
      </x:c>
      <x:c r="B42" s="16" t="str">
        <x:v>02 Lifecycle Event</x:v>
      </x:c>
      <x:c r="C42" s="16" t="str">
        <x:v>Event type discipline</x:v>
      </x:c>
      <x:c r="D42" s="16" t="str">
        <x:v>External Event</x:v>
      </x:c>
      <x:c r="E42" s="16" t="str">
        <x:v>Manago</x:v>
      </x:c>
      <x:c r="F42" s="16" t="str">
        <x:v>Schema / format</x:v>
      </x:c>
      <x:c r="G42" s="16" t="str">
        <x:v>Distribution of event types; detect misuse (e.g. PURCHASE used for reservations, OTHER as a dumping ground) and any type-changed events (which silently break automations).</x:v>
      </x:c>
      <x:c r="H42" s="16" t="str">
        <x:v>event contactExtEventType</x:v>
      </x:c>
      <x:c r="I42" s="16" t="str">
        <x:v>—</x:v>
      </x:c>
      <x:c r="J42" s="16" t="str">
        <x:v>—</x:v>
      </x:c>
      <x:c r="K42" s="16" t="str">
        <x:v>Event vocabulary polluted; automations keyed on types receive wrong triggers</x:v>
      </x:c>
      <x:c r="L42" s="16" t="str">
        <x:v>RC-13</x:v>
      </x:c>
      <x:c r="M42" s="16" t="str">
        <x:v>PURCHASE and CART feed analytics automatically — polluting them corrupts revenue analytics at the platform level, not just one workflow.</x:v>
      </x:c>
      <x:c r="N42" s="16" t="str">
        <x:v>All event-triggered automations, platform analytics</x:v>
      </x:c>
      <x:c r="O42" s="25" t="str">
        <x:v>Medium</x:v>
      </x:c>
      <x:c r="P42" s="23" t="str">
        <x:v>Medium</x:v>
      </x:c>
      <x:c r="Q42" s="16" t="str">
        <x:v>Document intended type vocabulary in mapping config; re-route misused streams at the integration; never change type on existing events (platform rule: automations won't run on type-changed events).</x:v>
      </x:c>
      <x:c r="R42" s="16" t="str">
        <x:v>Integration build</x:v>
      </x:c>
      <x:c r="S42" s="16" t="str">
        <x:v>External integrator</x:v>
      </x:c>
      <x:c r="T42" s="16" t="str">
        <x:v>Forward-only.</x:v>
      </x:c>
      <x:c r="U42" s="23" t="str">
        <x:v>Initial</x:v>
      </x:c>
      <x:c r="V42" s="23" t="str">
        <x:v>N</x:v>
      </x:c>
      <x:c r="W42" s="23" t="str">
        <x:v>—</x:v>
      </x:c>
      <x:c r="X42" s="23" t="str">
        <x:v>P1</x:v>
      </x:c>
    </x:row>
    <x:row r="43" ht="66" hidden="0" customHeight="1">
      <x:c r="A43" s="19" t="str">
        <x:v>LE-11</x:v>
      </x:c>
      <x:c r="B43" s="8" t="str">
        <x:v>02 Lifecycle Event</x:v>
      </x:c>
      <x:c r="C43" s="8" t="str">
        <x:v>Event ingestion lag and loss</x:v>
      </x:c>
      <x:c r="D43" s="8" t="str">
        <x:v>External Event</x:v>
      </x:c>
      <x:c r="E43" s="8" t="str">
        <x:v>Manago</x:v>
      </x:c>
      <x:c r="F43" s="8" t="str">
        <x:v>Statistical anomaly</x:v>
      </x:c>
      <x:c r="G43" s="8" t="str">
        <x:v>Distribution of (event.date vs ingestion time); detect losses from the contact-not-exists retry window (events for contacts created later than 1h after event send are dropped by the platform).</x:v>
      </x:c>
      <x:c r="H43" s="8" t="str">
        <x:v>addContactExtEvent retry behaviour (5-min retry, 1h expiry)</x:v>
      </x:c>
      <x:c r="I43" s="8" t="str">
        <x:v>order/customer creation sequence</x:v>
      </x:c>
      <x:c r="J43" s="8" t="str">
        <x:v>—</x:v>
      </x:c>
      <x:c r="K43" s="8" t="str">
        <x:v>Events silently dropped when contact creation races event send</x:v>
      </x:c>
      <x:c r="L43" s="8" t="str">
        <x:v>RC-05, RC-15</x:v>
      </x:c>
      <x:c r="M43" s="8" t="str">
        <x:v>First-purchase events for brand-new customers are the most likely casualties — precisely the trigger the welcome→second-purchase chain depends on.</x:v>
      </x:c>
      <x:c r="N43" s="8" t="str">
        <x:v>Welcome, second-purchase accelerator</x:v>
      </x:c>
      <x:c r="O43" s="24" t="str">
        <x:v>High</x:v>
      </x:c>
      <x:c r="P43" s="21" t="str">
        <x:v>High</x:v>
      </x:c>
      <x:c r="Q43" s="8" t="str">
        <x:v>Integration ordering fix: upsert contact before sending events (or single orchestrated flow); recover recent drops from Shopify via gap list LE-05.</x:v>
      </x:c>
      <x:c r="R43" s="8" t="str">
        <x:v>Integration build</x:v>
      </x:c>
      <x:c r="S43" s="8" t="str">
        <x:v>External integrator</x:v>
      </x:c>
      <x:c r="T43" s="8" t="str">
        <x:v>Forward-only; recovery via LE-05 backfill.</x:v>
      </x:c>
      <x:c r="U43" s="21" t="str">
        <x:v>Initial + Recurring</x:v>
      </x:c>
      <x:c r="V43" s="21" t="str">
        <x:v>N</x:v>
      </x:c>
      <x:c r="W43" s="21" t="str">
        <x:v>—</x:v>
      </x:c>
      <x:c r="X43" s="21" t="str">
        <x:v>P0</x:v>
      </x:c>
    </x:row>
    <x:row r="44" ht="54" hidden="0" customHeight="1">
      <x:c r="A44" s="22" t="str">
        <x:v>LE-12</x:v>
      </x:c>
      <x:c r="B44" s="16" t="str">
        <x:v>02 Lifecycle Event</x:v>
      </x:c>
      <x:c r="C44" s="16" t="str">
        <x:v>Event-to-contact attribution</x:v>
      </x:c>
      <x:c r="D44" s="16" t="str">
        <x:v>External Event</x:v>
      </x:c>
      <x:c r="E44" s="16" t="str">
        <x:v>Manago</x:v>
      </x:c>
      <x:c r="F44" s="16" t="str">
        <x:v>Referential integrity</x:v>
      </x:c>
      <x:c r="G44" s="16" t="str">
        <x:v>Sample-verify events attach to the intended contact (email vs contactId addressing consistency); detect events on merged/duplicate identities (ties to CI-03).</x:v>
      </x:c>
      <x:c r="H44" s="16" t="str">
        <x:v>event email/contactId addressing</x:v>
      </x:c>
      <x:c r="I44" s="16" t="str">
        <x:v>orders.customer.id</x:v>
      </x:c>
      <x:c r="J44" s="16" t="str">
        <x:v>—</x:v>
      </x:c>
      <x:c r="K44" s="16" t="str">
        <x:v>Events landed on the wrong twin of a duplicate pair</x:v>
      </x:c>
      <x:c r="L44" s="16" t="str">
        <x:v>RC-04, RC-02</x:v>
      </x:c>
      <x:c r="M44" s="16" t="str">
        <x:v>History split across duplicates re-creates the CI-03 damage even after a merge, if the integration keeps addressing the dead twin.</x:v>
      </x:c>
      <x:c r="N44" s="16" t="str">
        <x:v>RFM, all history-dependent logic</x:v>
      </x:c>
      <x:c r="O44" s="25" t="str">
        <x:v>Medium</x:v>
      </x:c>
      <x:c r="P44" s="23" t="str">
        <x:v>Medium</x:v>
      </x:c>
      <x:c r="Q44" s="16" t="str">
        <x:v>After CI-03 merge plan, repoint integration addressing to survivor identity (prefer contactId over email where stable); verify with post-merge sample.</x:v>
      </x:c>
      <x:c r="R44" s="16" t="str">
        <x:v>Integration build</x:v>
      </x:c>
      <x:c r="S44" s="16" t="str">
        <x:v>External integrator</x:v>
      </x:c>
      <x:c r="T44" s="16" t="str">
        <x:v>Forward-only.</x:v>
      </x:c>
      <x:c r="U44" s="23" t="str">
        <x:v>Initial</x:v>
      </x:c>
      <x:c r="V44" s="23" t="str">
        <x:v>N</x:v>
      </x:c>
      <x:c r="W44" s="23" t="str">
        <x:v>—</x:v>
      </x:c>
      <x:c r="X44" s="23" t="str">
        <x:v>P1</x:v>
      </x:c>
    </x:row>
    <x:row r="45" ht="42" hidden="0" customHeight="1">
      <x:c r="A45" s="19" t="str">
        <x:v>LE-13</x:v>
      </x:c>
      <x:c r="B45" s="8" t="str">
        <x:v>02 Lifecycle Event</x:v>
      </x:c>
      <x:c r="C45" s="8" t="str">
        <x:v>Event volume drift monitor</x:v>
      </x:c>
      <x:c r="D45" s="8" t="str">
        <x:v>External Event</x:v>
      </x:c>
      <x:c r="E45" s="8" t="str">
        <x:v>Manago vs Shopify</x:v>
      </x:c>
      <x:c r="F45" s="8" t="str">
        <x:v>Statistical anomaly</x:v>
      </x:c>
      <x:c r="G45" s="8" t="str">
        <x:v>Rolling 7/28-day PURCHASE+CART event volume vs order/checkout volume; alert on divergence trend before it becomes a parity failure.</x:v>
      </x:c>
      <x:c r="H45" s="8" t="str">
        <x:v>events volume</x:v>
      </x:c>
      <x:c r="I45" s="8" t="str">
        <x:v>orders/checkouts volume</x:v>
      </x:c>
      <x:c r="J45" s="8" t="str">
        <x:v>—</x:v>
      </x:c>
      <x:c r="K45" s="8" t="str">
        <x:v>Slow degradation of the event pipe (partial failures, auth decay)</x:v>
      </x:c>
      <x:c r="L45" s="8" t="str">
        <x:v>RC-05, RC-15</x:v>
      </x:c>
      <x:c r="M45" s="8" t="str">
        <x:v>Drift caught at 3% costs a batch backfill; drift caught at 30% costs a quarter of broken automation decisions.</x:v>
      </x:c>
      <x:c r="N45" s="8" t="str">
        <x:v>All event-triggered flows</x:v>
      </x:c>
      <x:c r="O45" s="25" t="str">
        <x:v>Medium</x:v>
      </x:c>
      <x:c r="P45" s="21" t="str">
        <x:v>Medium</x:v>
      </x:c>
      <x:c r="Q45" s="8" t="str">
        <x:v>Recurring detector with threshold alerting into the DCS drift surface; remediation routes to LE-05 gap list.</x:v>
      </x:c>
      <x:c r="R45" s="8" t="str">
        <x:v>Configuration</x:v>
      </x:c>
      <x:c r="S45" s="8" t="str">
        <x:v>Klints (automated)</x:v>
      </x:c>
      <x:c r="T45" s="8" t="str">
        <x:v>N/A — monitoring.</x:v>
      </x:c>
      <x:c r="U45" s="21" t="str">
        <x:v>Recurring</x:v>
      </x:c>
      <x:c r="V45" s="21" t="str">
        <x:v>N</x:v>
      </x:c>
      <x:c r="W45" s="21" t="str">
        <x:v>—</x:v>
      </x:c>
      <x:c r="X45" s="21" t="str">
        <x:v>P1</x:v>
      </x:c>
    </x:row>
    <x:row r="46" ht="54" hidden="0" customHeight="1">
      <x:c r="A46" s="22" t="str">
        <x:v>LE-14</x:v>
      </x:c>
      <x:c r="B46" s="16" t="str">
        <x:v>02 Lifecycle Event</x:v>
      </x:c>
      <x:c r="C46" s="16" t="str">
        <x:v>Historical event depth vs order history</x:v>
      </x:c>
      <x:c r="D46" s="16" t="str">
        <x:v>External Event</x:v>
      </x:c>
      <x:c r="E46" s="16" t="str">
        <x:v>Manago vs Shopify</x:v>
      </x:c>
      <x:c r="F46" s="16" t="str">
        <x:v>Cross-system reconciliation</x:v>
      </x:c>
      <x:c r="G46" s="16" t="str">
        <x:v>Earliest PURCHASE event vs earliest Shopify order; quantify the pre-integration blind window that RFM/LTV currently ignores.</x:v>
      </x:c>
      <x:c r="H46" s="16" t="str">
        <x:v>events (min date)</x:v>
      </x:c>
      <x:c r="I46" s="16" t="str">
        <x:v>orders (min created_at)</x:v>
      </x:c>
      <x:c r="J46" s="16" t="str">
        <x:v>ERP order archive (deeper history)</x:v>
      </x:c>
      <x:c r="K46" s="16" t="str">
        <x:v>Marketing platform sees only post-integration history</x:v>
      </x:c>
      <x:c r="L46" s="16" t="str">
        <x:v>RC-09</x:v>
      </x:c>
      <x:c r="M46" s="16" t="str">
        <x:v>A customer with 8 pre-integration orders looks brand-new; winback and VIP logic misclassify the most valuable veterans.</x:v>
      </x:c>
      <x:c r="N46" s="16" t="str">
        <x:v>RFM, VIP, winback</x:v>
      </x:c>
      <x:c r="O46" s="24" t="str">
        <x:v>High</x:v>
      </x:c>
      <x:c r="P46" s="23" t="str">
        <x:v>High</x:v>
      </x:c>
      <x:c r="Q46" s="16" t="str">
        <x:v>Approved historical backfill of PURCHASE events from Shopify (and ERP archive where deeper), respecting FD-05 window decisions; recompute RFM after load.</x:v>
      </x:c>
      <x:c r="R46" s="16" t="str">
        <x:v>Automated writeback (approved)</x:v>
      </x:c>
      <x:c r="S46" s="16" t="str">
        <x:v>Klints (automated)</x:v>
      </x:c>
      <x:c r="T46" s="16" t="str">
        <x:v>Backfill marked klints_backfill; permanence stated at approval.</x:v>
      </x:c>
      <x:c r="U46" s="23" t="str">
        <x:v>Initial</x:v>
      </x:c>
      <x:c r="V46" s="23" t="str">
        <x:v>Y</x:v>
      </x:c>
      <x:c r="W46" s="27" t="str">
        <x:v>T5 Event backfill</x:v>
      </x:c>
      <x:c r="X46" s="23" t="str">
        <x:v>P0</x:v>
      </x:c>
    </x:row>
    <x:row r="47" ht="42" hidden="0" customHeight="1">
      <x:c r="A47" s="19" t="str">
        <x:v>LE-15</x:v>
      </x:c>
      <x:c r="B47" s="8" t="str">
        <x:v>02 Lifecycle Event</x:v>
      </x:c>
      <x:c r="C47" s="8" t="str">
        <x:v>Behavioural event presence (visits)</x:v>
      </x:c>
      <x:c r="D47" s="8" t="str">
        <x:v>VISIT event</x:v>
      </x:c>
      <x:c r="E47" s="8" t="str">
        <x:v>Manago</x:v>
      </x:c>
      <x:c r="F47" s="8" t="str">
        <x:v>Presence</x:v>
      </x:c>
      <x:c r="G47" s="8" t="str">
        <x:v>Visit history flowing for identified contacts (volume, recency) — the behavioural layer of the contact model is alive, not just transactional.</x:v>
      </x:c>
      <x:c r="H47" s="8" t="str">
        <x:v>VISIT events, visit history (URL/UTM/scoring)</x:v>
      </x:c>
      <x:c r="I47" s="8" t="str">
        <x:v>storefront (via monitoring code)</x:v>
      </x:c>
      <x:c r="J47" s="8" t="str">
        <x:v>—</x:v>
      </x:c>
      <x:c r="K47" s="8" t="str">
        <x:v>Behavioural dimension empty despite FD-07 code present</x:v>
      </x:c>
      <x:c r="L47" s="8" t="str">
        <x:v>RC-12</x:v>
      </x:c>
      <x:c r="M47" s="8" t="str">
        <x:v>Scoring, browse-based segmentation and engagement recency all read from this stream; empty = those levers are decorative.</x:v>
      </x:c>
      <x:c r="N47" s="8" t="str">
        <x:v>Browse abandonment, engagement scoring, winback timing</x:v>
      </x:c>
      <x:c r="O47" s="25" t="str">
        <x:v>Medium</x:v>
      </x:c>
      <x:c r="P47" s="21" t="str">
        <x:v>Medium</x:v>
      </x:c>
      <x:c r="Q47" s="8" t="str">
        <x:v>Diagnose code placement vs identification (ties CI-14); verify across storefront domains and consent-mode gating of the tracker.</x:v>
      </x:c>
      <x:c r="R47" s="8" t="str">
        <x:v>Integration build</x:v>
      </x:c>
      <x:c r="S47" s="8" t="str">
        <x:v>External integrator</x:v>
      </x:c>
      <x:c r="T47" s="8" t="str">
        <x:v>Script-level; revertible.</x:v>
      </x:c>
      <x:c r="U47" s="21" t="str">
        <x:v>Initial + Recurring</x:v>
      </x:c>
      <x:c r="V47" s="21" t="str">
        <x:v>N</x:v>
      </x:c>
      <x:c r="W47" s="21" t="str">
        <x:v>—</x:v>
      </x:c>
      <x:c r="X47" s="21" t="str">
        <x:v>P1</x:v>
      </x:c>
    </x:row>
    <x:row r="48" ht="15.75" hidden="0" customHeight="1">
      <x:c r="A48" s="5" t="str">
        <x:v>03 Product &amp; Transaction</x:v>
      </x:c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ht="54" hidden="0" customHeight="1">
      <x:c r="A49" s="19" t="str">
        <x:v>PT-01</x:v>
      </x:c>
      <x:c r="B49" s="8" t="str">
        <x:v>03 Product &amp; Transaction</x:v>
      </x:c>
      <x:c r="C49" s="8" t="str">
        <x:v>Event product IDs resolve in catalog</x:v>
      </x:c>
      <x:c r="D49" s="8" t="str">
        <x:v>Product / Event</x:v>
      </x:c>
      <x:c r="E49" s="8" t="str">
        <x:v>Manago</x:v>
      </x:c>
      <x:c r="F49" s="8" t="str">
        <x:v>Referential integrity</x:v>
      </x:c>
      <x:c r="G49" s="8" t="str">
        <x:v>Product IDs on PURCHASE/CART events (comma-separated products field) exist in the Product Catalog / XML feed for the matching location; measure dangling-ID rate.</x:v>
      </x:c>
      <x:c r="H49" s="8" t="str">
        <x:v>event products field; product catalog</x:v>
      </x:c>
      <x:c r="I49" s="8" t="str">
        <x:v>products.id / variants.id</x:v>
      </x:c>
      <x:c r="J49" s="8" t="str">
        <x:v>—</x:v>
      </x:c>
      <x:c r="K49" s="8" t="str">
        <x:v>Events reference products the catalog does not know</x:v>
      </x:c>
      <x:c r="L49" s="8" t="str">
        <x:v>RC-02, RC-10, RC-13</x:v>
      </x:c>
      <x:c r="M49" s="8" t="str">
        <x:v>Recommendations, product-level automation conditions and post-purchase cross-sell silently skip or misfire on dangling IDs.</x:v>
      </x:c>
      <x:c r="N49" s="8" t="str">
        <x:v>Cross-sell, recommendations, product-triggered flows</x:v>
      </x:c>
      <x:c r="O49" s="24" t="str">
        <x:v>High</x:v>
      </x:c>
      <x:c r="P49" s="21" t="str">
        <x:v>High</x:v>
      </x:c>
      <x:c r="Q49" s="8" t="str">
        <x:v>Align ID convention (product vs variant — see PT-09) in the integration; upsert missing active products to catalog via v3 product/upsert; historical dangling IDs mapped in canonical layer.</x:v>
      </x:c>
      <x:c r="R49" s="8" t="str">
        <x:v>Integration build + Automated writeback (approved)</x:v>
      </x:c>
      <x:c r="S49" s="8" t="str">
        <x:v>External integrator</x:v>
      </x:c>
      <x:c r="T49" s="8" t="str">
        <x:v>Catalog upserts are updatable; mapping-table changes reversible.</x:v>
      </x:c>
      <x:c r="U49" s="21" t="str">
        <x:v>Initial + Recurring</x:v>
      </x:c>
      <x:c r="V49" s="21" t="str">
        <x:v>Y</x:v>
      </x:c>
      <x:c r="W49" s="28" t="str">
        <x:v>T7 Catalog sync</x:v>
      </x:c>
      <x:c r="X49" s="21" t="str">
        <x:v>P0</x:v>
      </x:c>
    </x:row>
    <x:row r="50" ht="54" hidden="0" customHeight="1">
      <x:c r="A50" s="22" t="str">
        <x:v>PT-02</x:v>
      </x:c>
      <x:c r="B50" s="16" t="str">
        <x:v>03 Product &amp; Transaction</x:v>
      </x:c>
      <x:c r="C50" s="16" t="str">
        <x:v>Location key consistency</x:v>
      </x:c>
      <x:c r="D50" s="16" t="str">
        <x:v>Event / Catalog</x:v>
      </x:c>
      <x:c r="E50" s="16" t="str">
        <x:v>Manago</x:v>
      </x:c>
      <x:c r="F50" s="16" t="str">
        <x:v>Referential integrity</x:v>
      </x:c>
      <x:c r="G50" s="16" t="str">
        <x:v>location field on events matches the catalog/feed location identifier exactly (charset rules: a-zA-Z0-9_, must not start with digit); per-store mapping table verified.</x:v>
      </x:c>
      <x:c r="H50" s="16" t="str">
        <x:v>event location; catalog location</x:v>
      </x:c>
      <x:c r="I50" s="16" t="str">
        <x:v>store domain(s)</x:v>
      </x:c>
      <x:c r="J50" s="16" t="str">
        <x:v>—</x:v>
      </x:c>
      <x:c r="K50" s="16" t="str">
        <x:v>Events cannot be linked to the right product feed / store</x:v>
      </x:c>
      <x:c r="L50" s="16" t="str">
        <x:v>RC-02, RC-11</x:v>
      </x:c>
      <x:c r="M50" s="16" t="str">
        <x:v>Multi-store and multi-locale tenants lose product resolution entirely for mismatched stores; recommendations pull from the wrong market.</x:v>
      </x:c>
      <x:c r="N50" s="16" t="str">
        <x:v>Recommendations, multi-store flows</x:v>
      </x:c>
      <x:c r="O50" s="24" t="str">
        <x:v>High</x:v>
      </x:c>
      <x:c r="P50" s="23" t="str">
        <x:v>High</x:v>
      </x:c>
      <x:c r="Q50" s="16" t="str">
        <x:v>Canonical location mapping per store in Klints config; integration emits from that table only; correct catalog location where wrong.</x:v>
      </x:c>
      <x:c r="R50" s="16" t="str">
        <x:v>Configuration + Integration build</x:v>
      </x:c>
      <x:c r="S50" s="16" t="str">
        <x:v>External integrator</x:v>
      </x:c>
      <x:c r="T50" s="16" t="str">
        <x:v>Config change; reversible.</x:v>
      </x:c>
      <x:c r="U50" s="23" t="str">
        <x:v>Initial</x:v>
      </x:c>
      <x:c r="V50" s="23" t="str">
        <x:v>N</x:v>
      </x:c>
      <x:c r="W50" s="23" t="str">
        <x:v>—</x:v>
      </x:c>
      <x:c r="X50" s="23" t="str">
        <x:v>P0</x:v>
      </x:c>
    </x:row>
    <x:row r="51" ht="54" hidden="0" customHeight="1">
      <x:c r="A51" s="19" t="str">
        <x:v>PT-03</x:v>
      </x:c>
      <x:c r="B51" s="8" t="str">
        <x:v>03 Product &amp; Transaction</x:v>
      </x:c>
      <x:c r="C51" s="8" t="str">
        <x:v>Catalog completeness vs commerce</x:v>
      </x:c>
      <x:c r="D51" s="8" t="str">
        <x:v>Product</x:v>
      </x:c>
      <x:c r="E51" s="8" t="str">
        <x:v>Manago vs Shopify</x:v>
      </x:c>
      <x:c r="F51" s="8" t="str">
        <x:v>Cross-system reconciliation</x:v>
      </x:c>
      <x:c r="G51" s="8" t="str">
        <x:v>Active Shopify products vs Manago catalog entries per location: missing, surplus (deleted in Shopify but live in catalog), and attribute-empty entries.</x:v>
      </x:c>
      <x:c r="H51" s="8" t="str">
        <x:v>v3 product catalog (catalogList, product entries)</x:v>
      </x:c>
      <x:c r="I51" s="8" t="str">
        <x:v>products (status=active)</x:v>
      </x:c>
      <x:c r="J51" s="8" t="str">
        <x:v>ERP item master (cross-check)</x:v>
      </x:c>
      <x:c r="K51" s="8" t="str">
        <x:v>Catalog is a stale subset or superset of the real assortment</x:v>
      </x:c>
      <x:c r="L51" s="8" t="str">
        <x:v>RC-01, RC-05, RC-10</x:v>
      </x:c>
      <x:c r="M51" s="8" t="str">
        <x:v>Recommendation engine and product conditions operate on a phantom assortment; deleted items can still be recommended.</x:v>
      </x:c>
      <x:c r="N51" s="8" t="str">
        <x:v>Recommendations, product conditions, dynamic emails</x:v>
      </x:c>
      <x:c r="O51" s="24" t="str">
        <x:v>High</x:v>
      </x:c>
      <x:c r="P51" s="21" t="str">
        <x:v>High</x:v>
      </x:c>
      <x:c r="Q51" s="8" t="str">
        <x:v>Establish catalog sync (v3 product/upsert on product change webhooks); one-time reconciliation load; archive-flag surplus entries.</x:v>
      </x:c>
      <x:c r="R51" s="8" t="str">
        <x:v>Integration build + Automated writeback (approved)</x:v>
      </x:c>
      <x:c r="S51" s="8" t="str">
        <x:v>Klints (automated)</x:v>
      </x:c>
      <x:c r="T51" s="8" t="str">
        <x:v>Catalog entries updatable/flag-reversible.</x:v>
      </x:c>
      <x:c r="U51" s="21" t="str">
        <x:v>Initial + Recurring</x:v>
      </x:c>
      <x:c r="V51" s="21" t="str">
        <x:v>Y</x:v>
      </x:c>
      <x:c r="W51" s="28" t="str">
        <x:v>T7 Catalog sync</x:v>
      </x:c>
      <x:c r="X51" s="21" t="str">
        <x:v>P0</x:v>
      </x:c>
    </x:row>
    <x:row r="52" ht="54" hidden="0" customHeight="1">
      <x:c r="A52" s="22" t="str">
        <x:v>PT-04</x:v>
      </x:c>
      <x:c r="B52" s="16" t="str">
        <x:v>03 Product &amp; Transaction</x:v>
      </x:c>
      <x:c r="C52" s="16" t="str">
        <x:v>Net vs gross transaction truth per contact</x:v>
      </x:c>
      <x:c r="D52" s="16" t="str">
        <x:v>Contact transaction stats</x:v>
      </x:c>
      <x:c r="E52" s="16" t="str">
        <x:v>Manago vs Shopify</x:v>
      </x:c>
      <x:c r="F52" s="16" t="str">
        <x:v>Cross-system reconciliation</x:v>
      </x:c>
      <x:c r="G52" s="16" t="str">
        <x:v>Per linked contact: Manago lifetime purchase value vs Shopify net revenue (orders minus refunds); quantify refund-blindness in per-contact totals (depends on LE-09).</x:v>
      </x:c>
      <x:c r="H52" s="16" t="str">
        <x:v>transaction statistics (total spend)</x:v>
      </x:c>
      <x:c r="I52" s="16" t="str">
        <x:v>orders minus refunds per customer</x:v>
      </x:c>
      <x:c r="J52" s="16" t="str">
        <x:v>ERP credit notes</x:v>
      </x:c>
      <x:c r="K52" s="16" t="str">
        <x:v>Contact-level value overstated by unrecognised returns</x:v>
      </x:c>
      <x:c r="L52" s="16" t="str">
        <x:v>RC-01</x:v>
      </x:c>
      <x:c r="M52" s="16" t="str">
        <x:v>VIP thresholds, value tiers, and 'best customer' logic promote serial returners; discount strategy targets exactly the wrong people.</x:v>
      </x:c>
      <x:c r="N52" s="16" t="str">
        <x:v>VIP progression, value-tier flows, loyalty</x:v>
      </x:c>
      <x:c r="O52" s="20" t="str">
        <x:v>Critical</x:v>
      </x:c>
      <x:c r="P52" s="23" t="str">
        <x:v>High</x:v>
      </x:c>
      <x:c r="Q52" s="16" t="str">
        <x:v>Land LE-09 returns pipe, then recompute; where platform totals cannot net refunds, maintain klints_net_ltv detail as the governed value and point workflows at it.</x:v>
      </x:c>
      <x:c r="R52" s="16" t="str">
        <x:v>Automated writeback (approved)</x:v>
      </x:c>
      <x:c r="S52" s="16" t="str">
        <x:v>Klints (automated)</x:v>
      </x:c>
      <x:c r="T52" s="16" t="str">
        <x:v>klints_net_ltv is a Klints-namespaced detail; removable in bulk.</x:v>
      </x:c>
      <x:c r="U52" s="23" t="str">
        <x:v>Initial + Recurring</x:v>
      </x:c>
      <x:c r="V52" s="23" t="str">
        <x:v>Y</x:v>
      </x:c>
      <x:c r="W52" s="27" t="str">
        <x:v>T6 Event correction</x:v>
      </x:c>
      <x:c r="X52" s="23" t="str">
        <x:v>P0</x:v>
      </x:c>
    </x:row>
    <x:row r="53" ht="42" hidden="0" customHeight="1">
      <x:c r="A53" s="19" t="str">
        <x:v>PT-05</x:v>
      </x:c>
      <x:c r="B53" s="8" t="str">
        <x:v>03 Product &amp; Transaction</x:v>
      </x:c>
      <x:c r="C53" s="8" t="str">
        <x:v>Price parity catalog vs commerce</x:v>
      </x:c>
      <x:c r="D53" s="8" t="str">
        <x:v>Product</x:v>
      </x:c>
      <x:c r="E53" s="8" t="str">
        <x:v>Manago vs Shopify</x:v>
      </x:c>
      <x:c r="F53" s="8" t="str">
        <x:v>Cross-system reconciliation</x:v>
      </x:c>
      <x:c r="G53" s="8" t="str">
        <x:v>Catalog price/discountPrice vs current Shopify price per product/variant; staleness distribution; discount flag correctness.</x:v>
      </x:c>
      <x:c r="H53" s="8" t="str">
        <x:v>v3 product/updatePrice fields</x:v>
      </x:c>
      <x:c r="I53" s="8" t="str">
        <x:v>variants.price / compare_at_price</x:v>
      </x:c>
      <x:c r="J53" s="8" t="str">
        <x:v>ERP price list</x:v>
      </x:c>
      <x:c r="K53" s="8" t="str">
        <x:v>Displayed/recommended prices diverge from real prices</x:v>
      </x:c>
      <x:c r="L53" s="8" t="str">
        <x:v>RC-05, RC-01</x:v>
      </x:c>
      <x:c r="M53" s="8" t="str">
        <x:v>Dynamic emails and recommendations show wrong prices — a legal exposure in EU price-indication rules, not just an embarrassment.</x:v>
      </x:c>
      <x:c r="N53" s="8" t="str">
        <x:v>Dynamic price emails, recommendations, price-drop flows</x:v>
      </x:c>
      <x:c r="O53" s="24" t="str">
        <x:v>High</x:v>
      </x:c>
      <x:c r="P53" s="21" t="str">
        <x:v>High</x:v>
      </x:c>
      <x:c r="Q53" s="8" t="str">
        <x:v>Wire price-change webhook → v3 product/updatePrice; one-time full price reconciliation; recurring parity sample.</x:v>
      </x:c>
      <x:c r="R53" s="8" t="str">
        <x:v>Integration build + Automated writeback (approved)</x:v>
      </x:c>
      <x:c r="S53" s="8" t="str">
        <x:v>Klints (automated)</x:v>
      </x:c>
      <x:c r="T53" s="8" t="str">
        <x:v>Price updates re-runnable from source of truth.</x:v>
      </x:c>
      <x:c r="U53" s="21" t="str">
        <x:v>Initial + Recurring</x:v>
      </x:c>
      <x:c r="V53" s="21" t="str">
        <x:v>Y</x:v>
      </x:c>
      <x:c r="W53" s="28" t="str">
        <x:v>T7 Catalog sync</x:v>
      </x:c>
      <x:c r="X53" s="21" t="str">
        <x:v>P0</x:v>
      </x:c>
    </x:row>
    <x:row r="54" ht="42" hidden="0" customHeight="1">
      <x:c r="A54" s="22" t="str">
        <x:v>PT-06</x:v>
      </x:c>
      <x:c r="B54" s="16" t="str">
        <x:v>03 Product &amp; Transaction</x:v>
      </x:c>
      <x:c r="C54" s="16" t="str">
        <x:v>Stock quantity parity</x:v>
      </x:c>
      <x:c r="D54" s="16" t="str">
        <x:v>Product / Inventory</x:v>
      </x:c>
      <x:c r="E54" s="16" t="str">
        <x:v>Manago vs Shopify vs ERP</x:v>
      </x:c>
      <x:c r="F54" s="16" t="str">
        <x:v>Cross-system reconciliation</x:v>
      </x:c>
      <x:c r="G54" s="16" t="str">
        <x:v>Catalog quantity vs Shopify inventory_levels vs ERP stock (three-way where ERP connected); flag negative, frozen, and stale quantities.</x:v>
      </x:c>
      <x:c r="H54" s="16" t="str">
        <x:v>v3 product/updateQuantity</x:v>
      </x:c>
      <x:c r="I54" s="16" t="str">
        <x:v>inventory_levels.available</x:v>
      </x:c>
      <x:c r="J54" s="16" t="str">
        <x:v>ERP stock per warehouse</x:v>
      </x:c>
      <x:c r="K54" s="16" t="str">
        <x:v>Availability truth differs per system</x:v>
      </x:c>
      <x:c r="L54" s="16" t="str">
        <x:v>RC-05, RC-01, RC-11</x:v>
      </x:c>
      <x:c r="M54" s="16" t="str">
        <x:v>Out-of-stock products promoted (see BR-03) and in-stock products suppressed; replenishment logic reads fiction.</x:v>
      </x:c>
      <x:c r="N54" s="16" t="str">
        <x:v>Replenishment, back-in-stock, recommendations</x:v>
      </x:c>
      <x:c r="O54" s="24" t="str">
        <x:v>High</x:v>
      </x:c>
      <x:c r="P54" s="23" t="str">
        <x:v>High</x:v>
      </x:c>
      <x:c r="Q54" s="16" t="str">
        <x:v>Define authoritative source (usually ERP, else Shopify); sync chain ERP→Shopify→Manago with freshness SLA; one-time reconciliation.</x:v>
      </x:c>
      <x:c r="R54" s="16" t="str">
        <x:v>Integration build + Automated writeback (approved)</x:v>
      </x:c>
      <x:c r="S54" s="16" t="str">
        <x:v>Data lead</x:v>
      </x:c>
      <x:c r="T54" s="16" t="str">
        <x:v>Quantity updates re-runnable from source.</x:v>
      </x:c>
      <x:c r="U54" s="23" t="str">
        <x:v>Initial + Recurring</x:v>
      </x:c>
      <x:c r="V54" s="23" t="str">
        <x:v>Y</x:v>
      </x:c>
      <x:c r="W54" s="27" t="str">
        <x:v>T7 Catalog sync</x:v>
      </x:c>
      <x:c r="X54" s="23" t="str">
        <x:v>P0</x:v>
      </x:c>
    </x:row>
    <x:row r="55" ht="54" hidden="0" customHeight="1">
      <x:c r="A55" s="19" t="str">
        <x:v>PT-07</x:v>
      </x:c>
      <x:c r="B55" s="8" t="str">
        <x:v>03 Product &amp; Transaction</x:v>
      </x:c>
      <x:c r="C55" s="8" t="str">
        <x:v>Currency normalisation</x:v>
      </x:c>
      <x:c r="D55" s="8" t="str">
        <x:v>Order / Event</x:v>
      </x:c>
      <x:c r="E55" s="8" t="str">
        <x:v>Manago vs Shopify</x:v>
      </x:c>
      <x:c r="F55" s="8" t="str">
        <x:v>Schema / format</x:v>
      </x:c>
      <x:c r="G55" s="8" t="str">
        <x:v>Multi-currency orders: event value currency basis consistent (presentment vs shop currency); mixed-currency aggregation detected in transaction stats.</x:v>
      </x:c>
      <x:c r="H55" s="8" t="str">
        <x:v>event value (no currency field — convention required)</x:v>
      </x:c>
      <x:c r="I55" s="8" t="str">
        <x:v>orders presentment/shop currency fields</x:v>
      </x:c>
      <x:c r="J55" s="8" t="str">
        <x:v>ERP document currency</x:v>
      </x:c>
      <x:c r="K55" s="8" t="str">
        <x:v>Values in mixed currencies summed as one number</x:v>
      </x:c>
      <x:c r="L55" s="8" t="str">
        <x:v>RC-02, RC-14</x:v>
      </x:c>
      <x:c r="M55" s="8" t="str">
        <x:v>A 1000 CZK order and a 1000 EUR order look identical to value logic — VIP tiers and revenue reporting become meaningless for multi-market tenants.</x:v>
      </x:c>
      <x:c r="N55" s="8" t="str">
        <x:v>Value-tier flows, reporting, RFM monetary axis</x:v>
      </x:c>
      <x:c r="O55" s="24" t="str">
        <x:v>High</x:v>
      </x:c>
      <x:c r="P55" s="21" t="str">
        <x:v>High</x:v>
      </x:c>
      <x:c r="Q55" s="8" t="str">
        <x:v>Convention: emit event value converted to tenant base currency at order date; document rate source; backfill correction where deviation is material.</x:v>
      </x:c>
      <x:c r="R55" s="8" t="str">
        <x:v>Integration build + Automated writeback (approved)</x:v>
      </x:c>
      <x:c r="S55" s="8" t="str">
        <x:v>External integrator</x:v>
      </x:c>
      <x:c r="T55" s="8" t="str">
        <x:v>Corrections overwrite (update not upsert); prior values in raw layer.</x:v>
      </x:c>
      <x:c r="U55" s="21" t="str">
        <x:v>Initial</x:v>
      </x:c>
      <x:c r="V55" s="21" t="str">
        <x:v>Y</x:v>
      </x:c>
      <x:c r="W55" s="28" t="str">
        <x:v>T4 Field normalisation</x:v>
      </x:c>
      <x:c r="X55" s="21" t="str">
        <x:v>P0</x:v>
      </x:c>
    </x:row>
    <x:row r="56" ht="54" hidden="0" customHeight="1">
      <x:c r="A56" s="22" t="str">
        <x:v>PT-08</x:v>
      </x:c>
      <x:c r="B56" s="16" t="str">
        <x:v>03 Product &amp; Transaction</x:v>
      </x:c>
      <x:c r="C56" s="16" t="str">
        <x:v>Order value composition rule</x:v>
      </x:c>
      <x:c r="D56" s="16" t="str">
        <x:v>Order / Event</x:v>
      </x:c>
      <x:c r="E56" s="16" t="str">
        <x:v>Manago vs Shopify</x:v>
      </x:c>
      <x:c r="F56" s="16" t="str">
        <x:v>Schema / format</x:v>
      </x:c>
      <x:c r="G56" s="16" t="str">
        <x:v>Verify a single documented rule for what event value contains (line items? shipping? tax? discounts?) by regression across sampled order pairs.</x:v>
      </x:c>
      <x:c r="H56" s="16" t="str">
        <x:v>event value</x:v>
      </x:c>
      <x:c r="I56" s="16" t="str">
        <x:v>orders.subtotal/total/shipping/tax fields</x:v>
      </x:c>
      <x:c r="J56" s="16" t="str">
        <x:v>—</x:v>
      </x:c>
      <x:c r="K56" s="16" t="str">
        <x:v>Value definition drifted over integration versions</x:v>
      </x:c>
      <x:c r="L56" s="16" t="str">
        <x:v>RC-02, RC-06</x:v>
      </x:c>
      <x:c r="M56" s="16" t="str">
        <x:v>Two eras of events with different value semantics cannot be compared; every value threshold silently means two things.</x:v>
      </x:c>
      <x:c r="N56" s="16" t="str">
        <x:v>Value thresholds, reporting</x:v>
      </x:c>
      <x:c r="O56" s="25" t="str">
        <x:v>Medium</x:v>
      </x:c>
      <x:c r="P56" s="23" t="str">
        <x:v>Medium</x:v>
      </x:c>
      <x:c r="Q56" s="16" t="str">
        <x:v>Fix the rule in mapping config (recommend: net merchandise value); flag the era boundary in canonical layer; correct only if deviation is material.</x:v>
      </x:c>
      <x:c r="R56" s="16" t="str">
        <x:v>Configuration</x:v>
      </x:c>
      <x:c r="S56" s="16" t="str">
        <x:v>Data lead</x:v>
      </x:c>
      <x:c r="T56" s="16" t="str">
        <x:v>Config change; canonical-layer flags reversible.</x:v>
      </x:c>
      <x:c r="U56" s="23" t="str">
        <x:v>Initial</x:v>
      </x:c>
      <x:c r="V56" s="23" t="str">
        <x:v>N</x:v>
      </x:c>
      <x:c r="W56" s="23" t="str">
        <x:v>—</x:v>
      </x:c>
      <x:c r="X56" s="23" t="str">
        <x:v>P1</x:v>
      </x:c>
    </x:row>
    <x:row r="57" ht="54" hidden="0" customHeight="1">
      <x:c r="A57" s="19" t="str">
        <x:v>PT-09</x:v>
      </x:c>
      <x:c r="B57" s="8" t="str">
        <x:v>03 Product &amp; Transaction</x:v>
      </x:c>
      <x:c r="C57" s="8" t="str">
        <x:v>Product vs variant ID convention</x:v>
      </x:c>
      <x:c r="D57" s="8" t="str">
        <x:v>Product</x:v>
      </x:c>
      <x:c r="E57" s="8" t="str">
        <x:v>Manago vs Shopify</x:v>
      </x:c>
      <x:c r="F57" s="8" t="str">
        <x:v>Schema / format</x:v>
      </x:c>
      <x:c r="G57" s="8" t="str">
        <x:v>Detect whether events and catalog use Shopify product IDs, variant IDs, SKUs, or a mix; a mixed convention is the root of most PT-01 dangling IDs.</x:v>
      </x:c>
      <x:c r="H57" s="8" t="str">
        <x:v>event products; catalog productId</x:v>
      </x:c>
      <x:c r="I57" s="8" t="str">
        <x:v>products.id vs variants.id vs sku</x:v>
      </x:c>
      <x:c r="J57" s="8" t="str">
        <x:v>ERP item number</x:v>
      </x:c>
      <x:c r="K57" s="8" t="str">
        <x:v>Identifier granularity inconsistent across the pipe</x:v>
      </x:c>
      <x:c r="L57" s="8" t="str">
        <x:v>RC-02, RC-13</x:v>
      </x:c>
      <x:c r="M57" s="8" t="str">
        <x:v>Size/colour variants either collapse (losing replenishment precision) or fragment (breaking product-level stats); recommendations degrade.</x:v>
      </x:c>
      <x:c r="N57" s="8" t="str">
        <x:v>Replenishment, recommendations, product analytics</x:v>
      </x:c>
      <x:c r="O57" s="24" t="str">
        <x:v>High</x:v>
      </x:c>
      <x:c r="P57" s="21" t="str">
        <x:v>High</x:v>
      </x:c>
      <x:c r="Q57" s="8" t="str">
        <x:v>Pick one convention (recommend variant-level with product-level rollup in canonical model); migrate catalog and integration; map historical IDs in canonical layer.</x:v>
      </x:c>
      <x:c r="R57" s="8" t="str">
        <x:v>Configuration + Integration build</x:v>
      </x:c>
      <x:c r="S57" s="8" t="str">
        <x:v>External integrator</x:v>
      </x:c>
      <x:c r="T57" s="8" t="str">
        <x:v>Mapping-table driven; reversible at canonical layer.</x:v>
      </x:c>
      <x:c r="U57" s="21" t="str">
        <x:v>Initial</x:v>
      </x:c>
      <x:c r="V57" s="21" t="str">
        <x:v>Y</x:v>
      </x:c>
      <x:c r="W57" s="28" t="str">
        <x:v>T7 Catalog sync</x:v>
      </x:c>
      <x:c r="X57" s="21" t="str">
        <x:v>P0</x:v>
      </x:c>
    </x:row>
    <x:row r="58" ht="42" hidden="0" customHeight="1">
      <x:c r="A58" s="22" t="str">
        <x:v>PT-10</x:v>
      </x:c>
      <x:c r="B58" s="16" t="str">
        <x:v>03 Product &amp; Transaction</x:v>
      </x:c>
      <x:c r="C58" s="16" t="str">
        <x:v>Deleted/archived product residue</x:v>
      </x:c>
      <x:c r="D58" s="16" t="str">
        <x:v>Product</x:v>
      </x:c>
      <x:c r="E58" s="16" t="str">
        <x:v>Manago</x:v>
      </x:c>
      <x:c r="F58" s="16" t="str">
        <x:v>Referential integrity</x:v>
      </x:c>
      <x:c r="G58" s="16" t="str">
        <x:v>Catalog entries and collections referencing products deleted/archived in Shopify; recommendation surfaces still serving them.</x:v>
      </x:c>
      <x:c r="H58" s="16" t="str">
        <x:v>catalog entries; product collections</x:v>
      </x:c>
      <x:c r="I58" s="16" t="str">
        <x:v>products.status (archived), deleted webhooks</x:v>
      </x:c>
      <x:c r="J58" s="16" t="str">
        <x:v>ERP discontinued flag</x:v>
      </x:c>
      <x:c r="K58" s="16" t="str">
        <x:v>Dead products live on in marketing surfaces</x:v>
      </x:c>
      <x:c r="L58" s="16" t="str">
        <x:v>RC-10, RC-05</x:v>
      </x:c>
      <x:c r="M58" s="16" t="str">
        <x:v>Customers click recommendations into 404s or dead variants; every such click is burned trust and lost conversion.</x:v>
      </x:c>
      <x:c r="N58" s="16" t="str">
        <x:v>Recommendations, dynamic emails, collections</x:v>
      </x:c>
      <x:c r="O58" s="25" t="str">
        <x:v>Medium</x:v>
      </x:c>
      <x:c r="P58" s="23" t="str">
        <x:v>Medium</x:v>
      </x:c>
      <x:c r="Q58" s="16" t="str">
        <x:v>Availability-flag sweep via v3 product/upsert; wire delete/archive webhooks; purge dead entries from collections.</x:v>
      </x:c>
      <x:c r="R58" s="16" t="str">
        <x:v>Automated writeback (approved)</x:v>
      </x:c>
      <x:c r="S58" s="16" t="str">
        <x:v>Klints (automated)</x:v>
      </x:c>
      <x:c r="T58" s="16" t="str">
        <x:v>Flags reversible.</x:v>
      </x:c>
      <x:c r="U58" s="23" t="str">
        <x:v>Initial + Recurring</x:v>
      </x:c>
      <x:c r="V58" s="23" t="str">
        <x:v>N</x:v>
      </x:c>
      <x:c r="W58" s="23" t="str">
        <x:v>—</x:v>
      </x:c>
      <x:c r="X58" s="23" t="str">
        <x:v>P1</x:v>
      </x:c>
    </x:row>
    <x:row r="59" ht="42" hidden="0" customHeight="1">
      <x:c r="A59" s="19" t="str">
        <x:v>PT-11</x:v>
      </x:c>
      <x:c r="B59" s="8" t="str">
        <x:v>03 Product &amp; Transaction</x:v>
      </x:c>
      <x:c r="C59" s="8" t="str">
        <x:v>Product attribute completeness</x:v>
      </x:c>
      <x:c r="D59" s="8" t="str">
        <x:v>Product</x:v>
      </x:c>
      <x:c r="E59" s="8" t="str">
        <x:v>Manago vs Shopify</x:v>
      </x:c>
      <x:c r="F59" s="8" t="str">
        <x:v>Presence</x:v>
      </x:c>
      <x:c r="G59" s="8" t="str">
        <x:v>Coverage of category, brand, image URL and product URL on catalog entries; attribute parity with Shopify source values.</x:v>
      </x:c>
      <x:c r="H59" s="8" t="str">
        <x:v>catalog product attributes</x:v>
      </x:c>
      <x:c r="I59" s="8" t="str">
        <x:v>products (product_type, vendor, images, handle)</x:v>
      </x:c>
      <x:c r="J59" s="8" t="str">
        <x:v>ERP item attributes</x:v>
      </x:c>
      <x:c r="K59" s="8" t="str">
        <x:v>Catalog entries exist but are attribute-poor</x:v>
      </x:c>
      <x:c r="L59" s="8" t="str">
        <x:v>RC-02, RC-08</x:v>
      </x:c>
      <x:c r="M59" s="8" t="str">
        <x:v>Category-based recommendation strategies and dynamic email blocks degrade to generic output; segmentation by product affinity loses resolution.</x:v>
      </x:c>
      <x:c r="N59" s="8" t="str">
        <x:v>Recommendations, category-affinity segments</x:v>
      </x:c>
      <x:c r="O59" s="25" t="str">
        <x:v>Medium</x:v>
      </x:c>
      <x:c r="P59" s="21" t="str">
        <x:v>Medium</x:v>
      </x:c>
      <x:c r="Q59" s="8" t="str">
        <x:v>Enrichment sync from Shopify fields via product/upsert; define minimum attribute contract per catalog entry in mapping config.</x:v>
      </x:c>
      <x:c r="R59" s="8" t="str">
        <x:v>Automated writeback (approved)</x:v>
      </x:c>
      <x:c r="S59" s="8" t="str">
        <x:v>Klints (automated)</x:v>
      </x:c>
      <x:c r="T59" s="8" t="str">
        <x:v>Attribute updates re-runnable.</x:v>
      </x:c>
      <x:c r="U59" s="21" t="str">
        <x:v>Initial</x:v>
      </x:c>
      <x:c r="V59" s="21" t="str">
        <x:v>N</x:v>
      </x:c>
      <x:c r="W59" s="21" t="str">
        <x:v>—</x:v>
      </x:c>
      <x:c r="X59" s="21" t="str">
        <x:v>P1</x:v>
      </x:c>
    </x:row>
    <x:row r="60" ht="54" hidden="0" customHeight="1">
      <x:c r="A60" s="22" t="str">
        <x:v>PT-12</x:v>
      </x:c>
      <x:c r="B60" s="16" t="str">
        <x:v>03 Product &amp; Transaction</x:v>
      </x:c>
      <x:c r="C60" s="16" t="str">
        <x:v>Transaction statistics recomputation</x:v>
      </x:c>
      <x:c r="D60" s="16" t="str">
        <x:v>Contact transaction stats</x:v>
      </x:c>
      <x:c r="E60" s="16" t="str">
        <x:v>Manago vs Shopify</x:v>
      </x:c>
      <x:c r="F60" s="16" t="str">
        <x:v>Cross-system reconciliation</x:v>
      </x:c>
      <x:c r="G60" s="16" t="str">
        <x:v>Sample contacts: platform-computed transaction stats (count, total, last purchase date) vs Klints recomputation from Shopify order history; systematic bias detection.</x:v>
      </x:c>
      <x:c r="H60" s="16" t="str">
        <x:v>transaction statistics (platform-computed)</x:v>
      </x:c>
      <x:c r="I60" s="16" t="str">
        <x:v>orders per customer</x:v>
      </x:c>
      <x:c r="J60" s="16" t="str">
        <x:v>—</x:v>
      </x:c>
      <x:c r="K60" s="16" t="str">
        <x:v>Platform aggregates disagree with recomputed truth</x:v>
      </x:c>
      <x:c r="L60" s="16" t="str">
        <x:v>RC-01, RC-04, RC-09</x:v>
      </x:c>
      <x:c r="M60" s="16" t="str">
        <x:v>RFM segments (Champions, At Risk…) are only as good as these inputs; if aggregates are off, every RFM-conditioned workflow inherits the error.</x:v>
      </x:c>
      <x:c r="N60" s="16" t="str">
        <x:v>RFM segments, AI transactional segmentation</x:v>
      </x:c>
      <x:c r="O60" s="24" t="str">
        <x:v>High</x:v>
      </x:c>
      <x:c r="P60" s="23" t="str">
        <x:v>High</x:v>
      </x:c>
      <x:c r="Q60" s="16" t="str">
        <x:v>Fix upstream causes (LE-01/04/09/14); after event repair, verify platform stats converge; if platform recompute lags, klints_ canonical stats become the governed reference.</x:v>
      </x:c>
      <x:c r="R60" s="16" t="str">
        <x:v>Automated writeback (approved)</x:v>
      </x:c>
      <x:c r="S60" s="16" t="str">
        <x:v>Klints (automated)</x:v>
      </x:c>
      <x:c r="T60" s="16" t="str">
        <x:v>klints_ stat details removable in bulk.</x:v>
      </x:c>
      <x:c r="U60" s="23" t="str">
        <x:v>Initial + Recurring</x:v>
      </x:c>
      <x:c r="V60" s="23" t="str">
        <x:v>N</x:v>
      </x:c>
      <x:c r="W60" s="23" t="str">
        <x:v>—</x:v>
      </x:c>
      <x:c r="X60" s="23" t="str">
        <x:v>P1</x:v>
      </x:c>
    </x:row>
    <x:row r="61" ht="54" hidden="0" customHeight="1">
      <x:c r="A61" s="19" t="str">
        <x:v>PT-13</x:v>
      </x:c>
      <x:c r="B61" s="8" t="str">
        <x:v>03 Product &amp; Transaction</x:v>
      </x:c>
      <x:c r="C61" s="8" t="str">
        <x:v>Coupon and discount consistency</x:v>
      </x:c>
      <x:c r="D61" s="8" t="str">
        <x:v>Coupon / Discount</x:v>
      </x:c>
      <x:c r="E61" s="8" t="str">
        <x:v>Manago vs Shopify</x:v>
      </x:c>
      <x:c r="F61" s="8" t="str">
        <x:v>Cross-system reconciliation</x:v>
      </x:c>
      <x:c r="G61" s="8" t="str">
        <x:v>Coupons issued via Manago (addContactCoupon) vs discount codes existing/valid in Shopify; redemption events flowing back; expired codes still being sent.</x:v>
      </x:c>
      <x:c r="H61" s="8" t="str">
        <x:v>coupon API (addContactCoupon)</x:v>
      </x:c>
      <x:c r="I61" s="8" t="str">
        <x:v>price_rules / discount_codes, order discount_applications</x:v>
      </x:c>
      <x:c r="J61" s="8" t="str">
        <x:v>—</x:v>
      </x:c>
      <x:c r="K61" s="8" t="str">
        <x:v>Marketing issues codes commerce won't honour, or redemptions never close the loop</x:v>
      </x:c>
      <x:c r="L61" s="8" t="str">
        <x:v>RC-01, RC-05</x:v>
      </x:c>
      <x:c r="M61" s="8" t="str">
        <x:v>A dead discount code in a winback email converts a save opportunity into a support ticket and a churn accelerant.</x:v>
      </x:c>
      <x:c r="N61" s="8" t="str">
        <x:v>Winback, VIP rewards, cart-recovery incentives</x:v>
      </x:c>
      <x:c r="O61" s="24" t="str">
        <x:v>High</x:v>
      </x:c>
      <x:c r="P61" s="21" t="str">
        <x:v>High</x:v>
      </x:c>
      <x:c r="Q61" s="8" t="str">
        <x:v>Coupon lifecycle sync: issue→validate→redemption event; expiry parity check; block sends referencing codes failing validation (pre-flight gate).</x:v>
      </x:c>
      <x:c r="R61" s="8" t="str">
        <x:v>Integration build</x:v>
      </x:c>
      <x:c r="S61" s="8" t="str">
        <x:v>External integrator</x:v>
      </x:c>
      <x:c r="T61" s="8" t="str">
        <x:v>Forward-only pipe.</x:v>
      </x:c>
      <x:c r="U61" s="21" t="str">
        <x:v>Initial + Recurring</x:v>
      </x:c>
      <x:c r="V61" s="21" t="str">
        <x:v>N</x:v>
      </x:c>
      <x:c r="W61" s="21" t="str">
        <x:v>—</x:v>
      </x:c>
      <x:c r="X61" s="21" t="str">
        <x:v>P1</x:v>
      </x:c>
    </x:row>
    <x:row r="62" ht="54" hidden="0" customHeight="1">
      <x:c r="A62" s="22" t="str">
        <x:v>PT-14</x:v>
      </x:c>
      <x:c r="B62" s="16" t="str">
        <x:v>03 Product &amp; Transaction</x:v>
      </x:c>
      <x:c r="C62" s="16" t="str">
        <x:v>Order value distribution anomaly</x:v>
      </x:c>
      <x:c r="D62" s="16" t="str">
        <x:v>Order / Event</x:v>
      </x:c>
      <x:c r="E62" s="16" t="str">
        <x:v>Manago</x:v>
      </x:c>
      <x:c r="F62" s="16" t="str">
        <x:v>Statistical anomaly</x:v>
      </x:c>
      <x:c r="G62" s="16" t="str">
        <x:v>AOV distribution of PURCHASE events vs Shopify orders (shape, not just sum): detect truncation, unit errors (×100 minor-units artifacts), test orders in the stream.</x:v>
      </x:c>
      <x:c r="H62" s="16" t="str">
        <x:v>event value distribution</x:v>
      </x:c>
      <x:c r="I62" s="16" t="str">
        <x:v>orders.total_price distribution</x:v>
      </x:c>
      <x:c r="J62" s="16" t="str">
        <x:v>—</x:v>
      </x:c>
      <x:c r="K62" s="16" t="str">
        <x:v>Value stream shape distorted by systematic artifacts</x:v>
      </x:c>
      <x:c r="L62" s="16" t="str">
        <x:v>RC-13, RC-14, RC-08</x:v>
      </x:c>
      <x:c r="M62" s="16" t="str">
        <x:v>A minor-units bug (value=129900 for €1,299.00) poisons every value threshold at 100× scale while sums may still 'look plausible'.</x:v>
      </x:c>
      <x:c r="N62" s="16" t="str">
        <x:v>All value logic</x:v>
      </x:c>
      <x:c r="O62" s="25" t="str">
        <x:v>Medium</x:v>
      </x:c>
      <x:c r="P62" s="23" t="str">
        <x:v>Medium</x:v>
      </x:c>
      <x:c r="Q62" s="16" t="str">
        <x:v>Distribution comparison flags the artifact class; remediation routes to LE-02/PT-07 fixes; test orders excluded by rule.</x:v>
      </x:c>
      <x:c r="R62" s="16" t="str">
        <x:v>Configuration</x:v>
      </x:c>
      <x:c r="S62" s="16" t="str">
        <x:v>Klints (automated)</x:v>
      </x:c>
      <x:c r="T62" s="16" t="str">
        <x:v>N/A — detection routes elsewhere.</x:v>
      </x:c>
      <x:c r="U62" s="23" t="str">
        <x:v>Initial + Recurring</x:v>
      </x:c>
      <x:c r="V62" s="23" t="str">
        <x:v>N</x:v>
      </x:c>
      <x:c r="W62" s="23" t="str">
        <x:v>—</x:v>
      </x:c>
      <x:c r="X62" s="23" t="str">
        <x:v>P1</x:v>
      </x:c>
    </x:row>
    <x:row r="63" ht="42" hidden="0" customHeight="1">
      <x:c r="A63" s="19" t="str">
        <x:v>PT-15</x:v>
      </x:c>
      <x:c r="B63" s="8" t="str">
        <x:v>03 Product &amp; Transaction</x:v>
      </x:c>
      <x:c r="C63" s="8" t="str">
        <x:v>Order status parity</x:v>
      </x:c>
      <x:c r="D63" s="8" t="str">
        <x:v>Order</x:v>
      </x:c>
      <x:c r="E63" s="8" t="str">
        <x:v>Shopify vs ERP</x:v>
      </x:c>
      <x:c r="F63" s="8" t="str">
        <x:v>Cross-system reconciliation</x:v>
      </x:c>
      <x:c r="G63" s="8" t="str">
        <x:v>Order status (paid/fulfilled/cancelled/refunded) agreement between Shopify and ERP for the common window; stuck-status detection.</x:v>
      </x:c>
      <x:c r="H63" s="8" t="str">
        <x:v>— (informs event semantics)</x:v>
      </x:c>
      <x:c r="I63" s="8" t="str">
        <x:v>orders.financial_status / fulfillment_status</x:v>
      </x:c>
      <x:c r="J63" s="8" t="str">
        <x:v>ERP order status</x:v>
      </x:c>
      <x:c r="K63" s="8" t="str">
        <x:v>Operational truth diverges between commerce and ERP</x:v>
      </x:c>
      <x:c r="L63" s="8" t="str">
        <x:v>RC-05, RC-01</x:v>
      </x:c>
      <x:c r="M63" s="8" t="str">
        <x:v>Post-purchase flows keyed on fulfilment ('your order shipped') fire wrongly; cancelled orders may still drive cross-sell.</x:v>
      </x:c>
      <x:c r="N63" s="8" t="str">
        <x:v>Post-purchase, shipping notifications, cross-sell gating</x:v>
      </x:c>
      <x:c r="O63" s="25" t="str">
        <x:v>Medium</x:v>
      </x:c>
      <x:c r="P63" s="21" t="str">
        <x:v>Medium</x:v>
      </x:c>
      <x:c r="Q63" s="8" t="str">
        <x:v>Identify the sync direction and lag; stuck orders listed for ops; Klints canonical order model records both statuses with precedence rule.</x:v>
      </x:c>
      <x:c r="R63" s="8" t="str">
        <x:v>Manual (guided)</x:v>
      </x:c>
      <x:c r="S63" s="8" t="str">
        <x:v>Merchant ops</x:v>
      </x:c>
      <x:c r="T63" s="8" t="str">
        <x:v>N/A — read-only vs external systems.</x:v>
      </x:c>
      <x:c r="U63" s="21" t="str">
        <x:v>Initial + Recurring</x:v>
      </x:c>
      <x:c r="V63" s="21" t="str">
        <x:v>N</x:v>
      </x:c>
      <x:c r="W63" s="21" t="str">
        <x:v>—</x:v>
      </x:c>
      <x:c r="X63" s="21" t="str">
        <x:v>P1</x:v>
      </x:c>
    </x:row>
    <x:row r="64" ht="15.75" hidden="0" customHeight="1">
      <x:c r="A64" s="5" t="str">
        <x:v>04 Segment &amp; Property</x:v>
      </x:c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</x:row>
    <x:row r="65" ht="54" hidden="0" customHeight="1">
      <x:c r="A65" s="19" t="str">
        <x:v>SP-01</x:v>
      </x:c>
      <x:c r="B65" s="8" t="str">
        <x:v>04 Segment &amp; Property</x:v>
      </x:c>
      <x:c r="C65" s="8" t="str">
        <x:v>Tag taxonomy hygiene</x:v>
      </x:c>
      <x:c r="D65" s="8" t="str">
        <x:v>Tag</x:v>
      </x:c>
      <x:c r="E65" s="8" t="str">
        <x:v>Manago</x:v>
      </x:c>
      <x:c r="F65" s="8" t="str">
        <x:v>Uniqueness</x:v>
      </x:c>
      <x:c r="G65" s="8" t="str">
        <x:v>Detect near-duplicate tags (case variants, plural/singular, typos, delimiter variants like VIP_CLIENT vs VIP-CLIENT), single-use tags, and tag count explosion.</x:v>
      </x:c>
      <x:c r="H65" s="8" t="str">
        <x:v>tags (primary external segmentation primitive)</x:v>
      </x:c>
      <x:c r="I65" s="8" t="str">
        <x:v>—</x:v>
      </x:c>
      <x:c r="J65" s="8" t="str">
        <x:v>—</x:v>
      </x:c>
      <x:c r="K65" s="8" t="str">
        <x:v>Tag namespace fragmented — same meaning under many labels</x:v>
      </x:c>
      <x:c r="L65" s="8" t="str">
        <x:v>RC-08, RC-04</x:v>
      </x:c>
      <x:c r="M65" s="8" t="str">
        <x:v>Segments built on one variant silently exclude contacts tagged with another; automation entry conditions leak audience.</x:v>
      </x:c>
      <x:c r="N65" s="8" t="str">
        <x:v>Every tag-conditioned automation and segment</x:v>
      </x:c>
      <x:c r="O65" s="24" t="str">
        <x:v>High</x:v>
      </x:c>
      <x:c r="P65" s="21" t="str">
        <x:v>High</x:v>
      </x:c>
      <x:c r="Q65" s="8" t="str">
        <x:v>Consolidation map (variants → canonical tag); approved bulk retag via contact upsert; deprecated variants documented, not deleted, until automations are re-pointed.</x:v>
      </x:c>
      <x:c r="R65" s="8" t="str">
        <x:v>Automated writeback (approved)</x:v>
      </x:c>
      <x:c r="S65" s="8" t="str">
        <x:v>CRM manager</x:v>
      </x:c>
      <x:c r="T65" s="8" t="str">
        <x:v>Retag operations logged; reverse map retained for rollback.</x:v>
      </x:c>
      <x:c r="U65" s="21" t="str">
        <x:v>Initial + Recurring</x:v>
      </x:c>
      <x:c r="V65" s="21" t="str">
        <x:v>Y</x:v>
      </x:c>
      <x:c r="W65" s="28" t="str">
        <x:v>T9 Tag consolidation</x:v>
      </x:c>
      <x:c r="X65" s="21" t="str">
        <x:v>P0</x:v>
      </x:c>
    </x:row>
    <x:row r="66" ht="42" hidden="0" customHeight="1">
      <x:c r="A66" s="22" t="str">
        <x:v>SP-02</x:v>
      </x:c>
      <x:c r="B66" s="16" t="str">
        <x:v>04 Segment &amp; Property</x:v>
      </x:c>
      <x:c r="C66" s="16" t="str">
        <x:v>Orphan and zero-population tags</x:v>
      </x:c>
      <x:c r="D66" s="16" t="str">
        <x:v>Tag</x:v>
      </x:c>
      <x:c r="E66" s="16" t="str">
        <x:v>Manago</x:v>
      </x:c>
      <x:c r="F66" s="16" t="str">
        <x:v>Referential integrity</x:v>
      </x:c>
      <x:c r="G66" s="16" t="str">
        <x:v>Tags referenced by no automation, segment, or recent send; tags on zero contacts; automations conditioned on tags that no longer get assigned.</x:v>
      </x:c>
      <x:c r="H66" s="16" t="str">
        <x:v>tags; workflow conditions</x:v>
      </x:c>
      <x:c r="I66" s="16" t="str">
        <x:v>—</x:v>
      </x:c>
      <x:c r="J66" s="16" t="str">
        <x:v>—</x:v>
      </x:c>
      <x:c r="K66" s="16" t="str">
        <x:v>Dead vocabulary and dead-end automation conditions</x:v>
      </x:c>
      <x:c r="L66" s="16" t="str">
        <x:v>RC-10, RC-08</x:v>
      </x:c>
      <x:c r="M66" s="16" t="str">
        <x:v>Automations waiting on never-assigned tags are silent failures — built, believed in, and doing nothing.</x:v>
      </x:c>
      <x:c r="N66" s="16" t="str">
        <x:v>Any tag-gated workflow</x:v>
      </x:c>
      <x:c r="O66" s="25" t="str">
        <x:v>Medium</x:v>
      </x:c>
      <x:c r="P66" s="23" t="str">
        <x:v>Medium</x:v>
      </x:c>
      <x:c r="Q66" s="16" t="str">
        <x:v>Cross-reference tag usage vs assignment sources; flag dead-end conditions to CRM manager with the specific automation named.</x:v>
      </x:c>
      <x:c r="R66" s="16" t="str">
        <x:v>Manual (guided)</x:v>
      </x:c>
      <x:c r="S66" s="16" t="str">
        <x:v>CRM manager</x:v>
      </x:c>
      <x:c r="T66" s="16" t="str">
        <x:v>N/A — advisory.</x:v>
      </x:c>
      <x:c r="U66" s="23" t="str">
        <x:v>Initial + Recurring</x:v>
      </x:c>
      <x:c r="V66" s="23" t="str">
        <x:v>N</x:v>
      </x:c>
      <x:c r="W66" s="23" t="str">
        <x:v>—</x:v>
      </x:c>
      <x:c r="X66" s="23" t="str">
        <x:v>P1</x:v>
      </x:c>
    </x:row>
    <x:row r="67" ht="54" hidden="0" customHeight="1">
      <x:c r="A67" s="19" t="str">
        <x:v>SP-03</x:v>
      </x:c>
      <x:c r="B67" s="8" t="str">
        <x:v>04 Segment &amp; Property</x:v>
      </x:c>
      <x:c r="C67" s="8" t="str">
        <x:v>Standard detail schema consistency</x:v>
      </x:c>
      <x:c r="D67" s="8" t="str">
        <x:v>Contact detail</x:v>
      </x:c>
      <x:c r="E67" s="8" t="str">
        <x:v>Manago</x:v>
      </x:c>
      <x:c r="F67" s="8" t="str">
        <x:v>Schema / format</x:v>
      </x:c>
      <x:c r="G67" s="8" t="str">
        <x:v>Per detail key: value format distribution (dates as text, mixed languages, mixed units, boolean spelled five ways); keys duplicating each other semantically.</x:v>
      </x:c>
      <x:c r="H67" s="8" t="str">
        <x:v>standard details (free-form key-value)</x:v>
      </x:c>
      <x:c r="I67" s="8" t="str">
        <x:v>customer metafields (source comparison)</x:v>
      </x:c>
      <x:c r="J67" s="8" t="str">
        <x:v>—</x:v>
      </x:c>
      <x:c r="K67" s="8" t="str">
        <x:v>Free-form details drifted into inconsistent formats</x:v>
      </x:c>
      <x:c r="L67" s="8" t="str">
        <x:v>RC-06, RC-08</x:v>
      </x:c>
      <x:c r="M67" s="8" t="str">
        <x:v>Segmentation conditions on details match only the format-majority; personalisation tokens ($cst.detail$) render raw junk for the rest.</x:v>
      </x:c>
      <x:c r="N67" s="8" t="str">
        <x:v>Detail-conditioned segments, personalised content</x:v>
      </x:c>
      <x:c r="O67" s="24" t="str">
        <x:v>High</x:v>
      </x:c>
      <x:c r="P67" s="21" t="str">
        <x:v>High</x:v>
      </x:c>
      <x:c r="Q67" s="8" t="str">
        <x:v>Per-key format contract in mapping config; normalisation batch via upsert (approved); date-type details migrated to date. prefix convention where proximity triggers are wanted.</x:v>
      </x:c>
      <x:c r="R67" s="8" t="str">
        <x:v>Automated writeback (approved)</x:v>
      </x:c>
      <x:c r="S67" s="8" t="str">
        <x:v>Klints (automated)</x:v>
      </x:c>
      <x:c r="T67" s="8" t="str">
        <x:v>Prior values in audit log; restorable per key.</x:v>
      </x:c>
      <x:c r="U67" s="21" t="str">
        <x:v>Initial</x:v>
      </x:c>
      <x:c r="V67" s="21" t="str">
        <x:v>Y</x:v>
      </x:c>
      <x:c r="W67" s="28" t="str">
        <x:v>T4 Field normalisation</x:v>
      </x:c>
      <x:c r="X67" s="21" t="str">
        <x:v>P0</x:v>
      </x:c>
    </x:row>
    <x:row r="68" ht="138" hidden="0" customHeight="1">
      <x:c r="A68" s="22" t="str">
        <x:v>SP-04</x:v>
      </x:c>
      <x:c r="B68" s="16" t="str">
        <x:v>04 Segment &amp; Property</x:v>
      </x:c>
      <x:c r="C68" s="16" t="str">
        <x:v>Date-prefixed detail validity</x:v>
      </x:c>
      <x:c r="D68" s="16" t="str">
        <x:v>Contact detail</x:v>
      </x:c>
      <x:c r="E68" s="16" t="str">
        <x:v>Manago</x:v>
      </x:c>
      <x:c r="F68" s="16" t="str">
        <x:v>Schema / format</x:v>
      </x:c>
      <x:c r="G68" s="16" t="str">
        <x:v>All date.-prefixed details parse as valid dates; plausibility window; coverage for details that proximity-triggered automations depend on. IMPORTANT (verify vs Manago docs before build): Manago's proximity trigger is 'Date from dictionary detail approaching' — confirm whether the reorder date must be written as a standard date. detail or a dictionary detail for the trigger to read it. Klints must write klints_next_refill as the EXACT type the trigger consumes, or UC-11/14/38/39 never fire.</x:v>
      </x:c>
      <x:c r="H68" s="16" t="str">
        <x:v>date. prefix details (proximity triggers)</x:v>
      </x:c>
      <x:c r="I68" s="16" t="str">
        <x:v>—</x:v>
      </x:c>
      <x:c r="J68" s="16" t="str">
        <x:v>—</x:v>
      </x:c>
      <x:c r="K68" s="16" t="str">
        <x:v>Date details corrupt → proximity automations misfire or never fire</x:v>
      </x:c>
      <x:c r="L68" s="16" t="str">
        <x:v>RC-08, RC-14</x:v>
      </x:c>
      <x:c r="M68" s="16" t="str">
        <x:v>A replenishment trigger reading a broken date.next_refill fires never or daily — both destroy the workflow's economics.</x:v>
      </x:c>
      <x:c r="N68" s="16" t="str">
        <x:v>Replenishment, renewal, anniversary flows</x:v>
      </x:c>
      <x:c r="O68" s="24" t="str">
        <x:v>High</x:v>
      </x:c>
      <x:c r="P68" s="23" t="str">
        <x:v>High</x:v>
      </x:c>
      <x:c r="Q68" s="16" t="str">
        <x:v>Parse-and-normalise batch (approved); invalid values blanked with incident list; integration writes validated at source going forward.</x:v>
      </x:c>
      <x:c r="R68" s="16" t="str">
        <x:v>Automated writeback (approved)</x:v>
      </x:c>
      <x:c r="S68" s="16" t="str">
        <x:v>Klints (automated)</x:v>
      </x:c>
      <x:c r="T68" s="16" t="str">
        <x:v>Prior values in audit log.</x:v>
      </x:c>
      <x:c r="U68" s="23" t="str">
        <x:v>Initial + Recurring</x:v>
      </x:c>
      <x:c r="V68" s="23" t="str">
        <x:v>N</x:v>
      </x:c>
      <x:c r="W68" s="23" t="str">
        <x:v>—</x:v>
      </x:c>
      <x:c r="X68" s="23" t="str">
        <x:v>P0</x:v>
      </x:c>
    </x:row>
    <x:row r="69" ht="42" hidden="0" customHeight="1">
      <x:c r="A69" s="19" t="str">
        <x:v>SP-05</x:v>
      </x:c>
      <x:c r="B69" s="8" t="str">
        <x:v>04 Segment &amp; Property</x:v>
      </x:c>
      <x:c r="C69" s="8" t="str">
        <x:v>Dictionary detail domain compliance</x:v>
      </x:c>
      <x:c r="D69" s="8" t="str">
        <x:v>Dictionary detail</x:v>
      </x:c>
      <x:c r="E69" s="8" t="str">
        <x:v>Manago</x:v>
      </x:c>
      <x:c r="F69" s="8" t="str">
        <x:v>Schema / format</x:v>
      </x:c>
      <x:c r="G69" s="8" t="str">
        <x:v>Dictionary detail values fall within their predefined value lists; detect free-text leakage into structured dictionaries.</x:v>
      </x:c>
      <x:c r="H69" s="8" t="str">
        <x:v>dictionary details (predefined key + value list)</x:v>
      </x:c>
      <x:c r="I69" s="8" t="str">
        <x:v>—</x:v>
      </x:c>
      <x:c r="J69" s="8" t="str">
        <x:v>—</x:v>
      </x:c>
      <x:c r="K69" s="8" t="str">
        <x:v>Structured fields polluted with out-of-domain values</x:v>
      </x:c>
      <x:c r="L69" s="8" t="str">
        <x:v>RC-13, RC-08</x:v>
      </x:c>
      <x:c r="M69" s="8" t="str">
        <x:v>The point of dictionary details is reliable segmentation; out-of-domain values reintroduce exactly the fuzziness they exist to prevent.</x:v>
      </x:c>
      <x:c r="N69" s="8" t="str">
        <x:v>Dictionary-conditioned segments</x:v>
      </x:c>
      <x:c r="O69" s="25" t="str">
        <x:v>Medium</x:v>
      </x:c>
      <x:c r="P69" s="21" t="str">
        <x:v>Medium</x:v>
      </x:c>
      <x:c r="Q69" s="8" t="str">
        <x:v>Map stray values into the domain or extend the dictionary deliberately; fix the writing integration to validate against the list.</x:v>
      </x:c>
      <x:c r="R69" s="8" t="str">
        <x:v>Automated writeback (approved)</x:v>
      </x:c>
      <x:c r="S69" s="8" t="str">
        <x:v>CRM manager</x:v>
      </x:c>
      <x:c r="T69" s="8" t="str">
        <x:v>Value remaps logged; restorable.</x:v>
      </x:c>
      <x:c r="U69" s="21" t="str">
        <x:v>Initial</x:v>
      </x:c>
      <x:c r="V69" s="21" t="str">
        <x:v>N</x:v>
      </x:c>
      <x:c r="W69" s="21" t="str">
        <x:v>—</x:v>
      </x:c>
      <x:c r="X69" s="21" t="str">
        <x:v>P1</x:v>
      </x:c>
    </x:row>
    <x:row r="70" ht="54" hidden="0" customHeight="1">
      <x:c r="A70" s="22" t="str">
        <x:v>SP-06</x:v>
      </x:c>
      <x:c r="B70" s="16" t="str">
        <x:v>04 Segment &amp; Property</x:v>
      </x:c>
      <x:c r="C70" s="16" t="str">
        <x:v>Key Information completeness</x:v>
      </x:c>
      <x:c r="D70" s="16" t="str">
        <x:v>Key Information</x:v>
      </x:c>
      <x:c r="E70" s="16" t="str">
        <x:v>Manago</x:v>
      </x:c>
      <x:c r="F70" s="16" t="str">
        <x:v>Presence</x:v>
      </x:c>
      <x:c r="G70" s="16" t="str">
        <x:v>Coverage of Preference Center / Key Information fields vs configured schema (keyInformation/get); population rate per field vs its use in segmentation and workflow conditions.</x:v>
      </x:c>
      <x:c r="H70" s="16" t="str">
        <x:v>v3 keyInformation get/upsert</x:v>
      </x:c>
      <x:c r="I70" s="16" t="str">
        <x:v>—</x:v>
      </x:c>
      <x:c r="J70" s="16" t="str">
        <x:v>—</x:v>
      </x:c>
      <x:c r="K70" s="16" t="str">
        <x:v>Zero-party data structure configured but empty</x:v>
      </x:c>
      <x:c r="L70" s="16" t="str">
        <x:v>RC-01, RC-12</x:v>
      </x:c>
      <x:c r="M70" s="16" t="str">
        <x:v>Preference-based personalisation and consent-adjacent targeting have no fuel; workflows conditioned on preferences address near-empty segments.</x:v>
      </x:c>
      <x:c r="N70" s="16" t="str">
        <x:v>Preference-driven flows, Preference Center journeys</x:v>
      </x:c>
      <x:c r="O70" s="26" t="str">
        <x:v>Low</x:v>
      </x:c>
      <x:c r="P70" s="23" t="str">
        <x:v>Medium</x:v>
      </x:c>
      <x:c r="Q70" s="16" t="str">
        <x:v>Report coverage honestly; propose collection touchpoints (post-purchase micro-survey, preference campaign) as workflow opportunities rather than a data fix.</x:v>
      </x:c>
      <x:c r="R70" s="16" t="str">
        <x:v>Manual (guided)</x:v>
      </x:c>
      <x:c r="S70" s="16" t="str">
        <x:v>CRM manager</x:v>
      </x:c>
      <x:c r="T70" s="16" t="str">
        <x:v>N/A — advisory.</x:v>
      </x:c>
      <x:c r="U70" s="23" t="str">
        <x:v>Initial</x:v>
      </x:c>
      <x:c r="V70" s="23" t="str">
        <x:v>N</x:v>
      </x:c>
      <x:c r="W70" s="23" t="str">
        <x:v>—</x:v>
      </x:c>
      <x:c r="X70" s="23" t="str">
        <x:v>P2</x:v>
      </x:c>
    </x:row>
    <x:row r="71" ht="54" hidden="0" customHeight="1">
      <x:c r="A71" s="19" t="str">
        <x:v>SP-07</x:v>
      </x:c>
      <x:c r="B71" s="8" t="str">
        <x:v>04 Segment &amp; Property</x:v>
      </x:c>
      <x:c r="C71" s="8" t="str">
        <x:v>klints_ namespace availability</x:v>
      </x:c>
      <x:c r="D71" s="8" t="str">
        <x:v>Detail / Tag namespace</x:v>
      </x:c>
      <x:c r="E71" s="8" t="str">
        <x:v>Manago</x:v>
      </x:c>
      <x:c r="F71" s="8" t="str">
        <x:v>Uniqueness</x:v>
      </x:c>
      <x:c r="G71" s="8" t="str">
        <x:v>Verify no pre-existing details/tags collide with the klints_ prefix and klints: tag convention; reserve the namespace in mapping config.</x:v>
      </x:c>
      <x:c r="H71" s="8" t="str">
        <x:v>details and tags with klints_ / klints: prefix</x:v>
      </x:c>
      <x:c r="I71" s="8" t="str">
        <x:v>—</x:v>
      </x:c>
      <x:c r="J71" s="8" t="str">
        <x:v>—</x:v>
      </x:c>
      <x:c r="K71" s="8" t="str">
        <x:v>Namespace collision would make Klints writes ambiguous with legacy data</x:v>
      </x:c>
      <x:c r="L71" s="8" t="str">
        <x:v>RC-04</x:v>
      </x:c>
      <x:c r="M71" s="8" t="str">
        <x:v>Every Klints writeback, rollback and audit assertion depends on the namespace being exclusively Klints-owned; collision poisons the audit trail from day one.</x:v>
      </x:c>
      <x:c r="N71" s="8" t="str">
        <x:v>All Klints writeback operations</x:v>
      </x:c>
      <x:c r="O71" s="20" t="str">
        <x:v>Critical</x:v>
      </x:c>
      <x:c r="P71" s="21" t="str">
        <x:v>Gate — blocks writeback</x:v>
      </x:c>
      <x:c r="Q71" s="8" t="str">
        <x:v>If collisions found: catalogue them, rename legacy items with approval, or version the Klints prefix for this tenant; writeback stays blocked until namespace is clean.</x:v>
      </x:c>
      <x:c r="R71" s="8" t="str">
        <x:v>Automated writeback (approved)</x:v>
      </x:c>
      <x:c r="S71" s="8" t="str">
        <x:v>Klints (automated)</x:v>
      </x:c>
      <x:c r="T71" s="8" t="str">
        <x:v>Renames logged with reverse map.</x:v>
      </x:c>
      <x:c r="U71" s="21" t="str">
        <x:v>Initial</x:v>
      </x:c>
      <x:c r="V71" s="21" t="str">
        <x:v>N</x:v>
      </x:c>
      <x:c r="W71" s="21" t="str">
        <x:v>—</x:v>
      </x:c>
      <x:c r="X71" s="21" t="str">
        <x:v>P0</x:v>
      </x:c>
    </x:row>
    <x:row r="72" ht="54" hidden="0" customHeight="1">
      <x:c r="A72" s="22" t="str">
        <x:v>SP-08</x:v>
      </x:c>
      <x:c r="B72" s="16" t="str">
        <x:v>04 Segment &amp; Property</x:v>
      </x:c>
      <x:c r="C72" s="16" t="str">
        <x:v>Segment population sanity</x:v>
      </x:c>
      <x:c r="D72" s="16" t="str">
        <x:v>Segment</x:v>
      </x:c>
      <x:c r="E72" s="16" t="str">
        <x:v>Manago</x:v>
      </x:c>
      <x:c r="F72" s="16" t="str">
        <x:v>Statistical anomaly</x:v>
      </x:c>
      <x:c r="G72" s="16" t="str">
        <x:v>Enumerate saved segments/dynamic segments: flag 0-contact segments, all-contacts segments, and segments whose population shifted &gt;50% since last recount.</x:v>
      </x:c>
      <x:c r="H72" s="16" t="str">
        <x:v>segmentation center, dynamic segments (recounted before use)</x:v>
      </x:c>
      <x:c r="I72" s="16" t="str">
        <x:v>—</x:v>
      </x:c>
      <x:c r="J72" s="16" t="str">
        <x:v>—</x:v>
      </x:c>
      <x:c r="K72" s="16" t="str">
        <x:v>Segments defined but selecting nothing / everything / erratically</x:v>
      </x:c>
      <x:c r="L72" s="16" t="str">
        <x:v>RC-06, RC-08, RC-10</x:v>
      </x:c>
      <x:c r="M72" s="16" t="str">
        <x:v>A campaign aimed at a broken segment either sends to nobody (silent failure) or everybody (visible disaster).</x:v>
      </x:c>
      <x:c r="N72" s="16" t="str">
        <x:v>All segment-targeted campaigns</x:v>
      </x:c>
      <x:c r="O72" s="24" t="str">
        <x:v>High</x:v>
      </x:c>
      <x:c r="P72" s="23" t="str">
        <x:v>High</x:v>
      </x:c>
      <x:c r="Q72" s="16" t="str">
        <x:v>Per broken segment: trace condition against underlying data checks (tag hygiene SP-01, detail formats SP-03); repair the condition or the data, re-verify count.</x:v>
      </x:c>
      <x:c r="R72" s="16" t="str">
        <x:v>Manual (guided)</x:v>
      </x:c>
      <x:c r="S72" s="16" t="str">
        <x:v>CRM manager</x:v>
      </x:c>
      <x:c r="T72" s="16" t="str">
        <x:v>Segment definitions editable; prior definition documented before change.</x:v>
      </x:c>
      <x:c r="U72" s="23" t="str">
        <x:v>Initial + Recurring</x:v>
      </x:c>
      <x:c r="V72" s="23" t="str">
        <x:v>N</x:v>
      </x:c>
      <x:c r="W72" s="23" t="str">
        <x:v>—</x:v>
      </x:c>
      <x:c r="X72" s="23" t="str">
        <x:v>P1</x:v>
      </x:c>
    </x:row>
    <x:row r="73" ht="54" hidden="0" customHeight="1">
      <x:c r="A73" s="19" t="str">
        <x:v>SP-09</x:v>
      </x:c>
      <x:c r="B73" s="8" t="str">
        <x:v>04 Segment &amp; Property</x:v>
      </x:c>
      <x:c r="C73" s="8" t="str">
        <x:v>Funnel stage assignment coverage</x:v>
      </x:c>
      <x:c r="D73" s="8" t="str">
        <x:v>Funnel</x:v>
      </x:c>
      <x:c r="E73" s="8" t="str">
        <x:v>Manago</x:v>
      </x:c>
      <x:c r="F73" s="8" t="str">
        <x:v>Presence</x:v>
      </x:c>
      <x:c r="G73" s="8" t="str">
        <x:v>Contacts assigned to funnels/stages vs total base; stages with zero movement in 90 days; funnel structure vs the tenant's actual lifecycle model.</x:v>
      </x:c>
      <x:c r="H73" s="8" t="str">
        <x:v>funnel API (v2 funnel category)</x:v>
      </x:c>
      <x:c r="I73" s="8" t="str">
        <x:v>—</x:v>
      </x:c>
      <x:c r="J73" s="8" t="str">
        <x:v>—</x:v>
      </x:c>
      <x:c r="K73" s="8" t="str">
        <x:v>Funnels exist as furniture, not as living lifecycle state</x:v>
      </x:c>
      <x:c r="L73" s="8" t="str">
        <x:v>RC-08, RC-10</x:v>
      </x:c>
      <x:c r="M73" s="8" t="str">
        <x:v>If funnel stage is used as an automation condition anywhere, stale assignment quietly gates real sends; if unused, it misleads human operators reading the platform.</x:v>
      </x:c>
      <x:c r="N73" s="8" t="str">
        <x:v>Funnel-conditioned automations</x:v>
      </x:c>
      <x:c r="O73" s="26" t="str">
        <x:v>Low</x:v>
      </x:c>
      <x:c r="P73" s="21" t="str">
        <x:v>Low</x:v>
      </x:c>
      <x:c r="Q73" s="8" t="str">
        <x:v>Decide per tenant: retire unused funnels or wire assignment rules; Klints lifecycle stage model (canonical) becomes the governed alternative.</x:v>
      </x:c>
      <x:c r="R73" s="8" t="str">
        <x:v>Manual (guided)</x:v>
      </x:c>
      <x:c r="S73" s="8" t="str">
        <x:v>CRM manager</x:v>
      </x:c>
      <x:c r="T73" s="8" t="str">
        <x:v>N/A — advisory.</x:v>
      </x:c>
      <x:c r="U73" s="21" t="str">
        <x:v>Initial</x:v>
      </x:c>
      <x:c r="V73" s="21" t="str">
        <x:v>N</x:v>
      </x:c>
      <x:c r="W73" s="21" t="str">
        <x:v>—</x:v>
      </x:c>
      <x:c r="X73" s="21" t="str">
        <x:v>P2</x:v>
      </x:c>
    </x:row>
    <x:row r="74" ht="54" hidden="0" customHeight="1">
      <x:c r="A74" s="22" t="str">
        <x:v>SP-10</x:v>
      </x:c>
      <x:c r="B74" s="16" t="str">
        <x:v>04 Segment &amp; Property</x:v>
      </x:c>
      <x:c r="C74" s="16" t="str">
        <x:v>RFM computability coverage</x:v>
      </x:c>
      <x:c r="D74" s="16" t="str">
        <x:v>RFM segment</x:v>
      </x:c>
      <x:c r="E74" s="16" t="str">
        <x:v>Manago</x:v>
      </x:c>
      <x:c r="F74" s="16" t="str">
        <x:v>Presence</x:v>
      </x:c>
      <x:c r="G74" s="16" t="str">
        <x:v>Share of contacts with RFM segment assigned; unassigned share decomposed into no-purchase-history (legitimate) vs missing-events (LE-01/14 damage).</x:v>
      </x:c>
      <x:c r="H74" s="16" t="str">
        <x:v>RFM segments (computed from purchase External Events)</x:v>
      </x:c>
      <x:c r="I74" s="16" t="str">
        <x:v>orders per customer (truth)</x:v>
      </x:c>
      <x:c r="J74" s="16" t="str">
        <x:v>—</x:v>
      </x:c>
      <x:c r="K74" s="16" t="str">
        <x:v>RFM coverage gap caused by event gaps, not by customer behaviour</x:v>
      </x:c>
      <x:c r="L74" s="16" t="str">
        <x:v>RC-01, RC-09</x:v>
      </x:c>
      <x:c r="M74" s="16" t="str">
        <x:v>Champions sitting in 'no data' are excluded from every RFM-driven workflow — the best customers get the least sophisticated treatment.</x:v>
      </x:c>
      <x:c r="N74" s="16" t="str">
        <x:v>All RFM-conditioned workflows</x:v>
      </x:c>
      <x:c r="O74" s="24" t="str">
        <x:v>High</x:v>
      </x:c>
      <x:c r="P74" s="23" t="str">
        <x:v>High</x:v>
      </x:c>
      <x:c r="Q74" s="16" t="str">
        <x:v>Remediation is upstream (LE-05/LE-14 backfill); this check verifies RFM converges after event repair and quantifies the before/after.</x:v>
      </x:c>
      <x:c r="R74" s="16" t="str">
        <x:v>Automated writeback (approved)</x:v>
      </x:c>
      <x:c r="S74" s="16" t="str">
        <x:v>Klints (automated)</x:v>
      </x:c>
      <x:c r="T74" s="16" t="str">
        <x:v>Follows LE backfill rollback posture.</x:v>
      </x:c>
      <x:c r="U74" s="23" t="str">
        <x:v>Initial + Recurring</x:v>
      </x:c>
      <x:c r="V74" s="23" t="str">
        <x:v>N</x:v>
      </x:c>
      <x:c r="W74" s="23" t="str">
        <x:v>—</x:v>
      </x:c>
      <x:c r="X74" s="23" t="str">
        <x:v>P1</x:v>
      </x:c>
    </x:row>
    <x:row r="75" ht="54" hidden="0" customHeight="1">
      <x:c r="A75" s="19" t="str">
        <x:v>SP-11</x:v>
      </x:c>
      <x:c r="B75" s="8" t="str">
        <x:v>04 Segment &amp; Property</x:v>
      </x:c>
      <x:c r="C75" s="8" t="str">
        <x:v>Contradictory property states</x:v>
      </x:c>
      <x:c r="D75" s="8" t="str">
        <x:v>Contact</x:v>
      </x:c>
      <x:c r="E75" s="8" t="str">
        <x:v>Manago</x:v>
      </x:c>
      <x:c r="F75" s="8" t="str">
        <x:v>Cross-field consistency</x:v>
      </x:c>
      <x:c r="G75" s="8" t="str">
        <x:v>Rule-based contradiction scan: VIP tag with zero purchases; churn-risk tag with purchase this week; B2B tag with consumer-only history; loyalty tier above spend threshold.</x:v>
      </x:c>
      <x:c r="H75" s="8" t="str">
        <x:v>tags + transaction stats + details combined</x:v>
      </x:c>
      <x:c r="I75" s="8" t="str">
        <x:v>orders (verification)</x:v>
      </x:c>
      <x:c r="J75" s="8" t="str">
        <x:v>—</x:v>
      </x:c>
      <x:c r="K75" s="8" t="str">
        <x:v>Contact state internally inconsistent</x:v>
      </x:c>
      <x:c r="L75" s="8" t="str">
        <x:v>RC-08, RC-05, RC-10</x:v>
      </x:c>
      <x:c r="M75" s="8" t="str">
        <x:v>Contradictions route contacts into mutually exclusive journeys simultaneously — the customer experiences the brand as incoherent.</x:v>
      </x:c>
      <x:c r="N75" s="8" t="str">
        <x:v>VIP, churn-save, loyalty flows</x:v>
      </x:c>
      <x:c r="O75" s="25" t="str">
        <x:v>Medium</x:v>
      </x:c>
      <x:c r="P75" s="21" t="str">
        <x:v>Medium</x:v>
      </x:c>
      <x:c r="Q75" s="8" t="str">
        <x:v>Contradiction rules shipped as Klints config; per-cluster resolution proposals (which signal wins) approved by CRM manager; bulk retag.</x:v>
      </x:c>
      <x:c r="R75" s="8" t="str">
        <x:v>Automated writeback (approved)</x:v>
      </x:c>
      <x:c r="S75" s="8" t="str">
        <x:v>CRM manager</x:v>
      </x:c>
      <x:c r="T75" s="8" t="str">
        <x:v>Retags logged with reverse map.</x:v>
      </x:c>
      <x:c r="U75" s="21" t="str">
        <x:v>Initial + Recurring</x:v>
      </x:c>
      <x:c r="V75" s="21" t="str">
        <x:v>N</x:v>
      </x:c>
      <x:c r="W75" s="21" t="str">
        <x:v>—</x:v>
      </x:c>
      <x:c r="X75" s="21" t="str">
        <x:v>P1</x:v>
      </x:c>
    </x:row>
    <x:row r="76" ht="42" hidden="0" customHeight="1">
      <x:c r="A76" s="22" t="str">
        <x:v>SP-12</x:v>
      </x:c>
      <x:c r="B76" s="16" t="str">
        <x:v>04 Segment &amp; Property</x:v>
      </x:c>
      <x:c r="C76" s="16" t="str">
        <x:v>Property freshness on decision fields</x:v>
      </x:c>
      <x:c r="D76" s="16" t="str">
        <x:v>Contact detail</x:v>
      </x:c>
      <x:c r="E76" s="16" t="str">
        <x:v>Manago</x:v>
      </x:c>
      <x:c r="F76" s="16" t="str">
        <x:v>Freshness</x:v>
      </x:c>
      <x:c r="G76" s="16" t="str">
        <x:v>Last-write recency for the details/tags that gate live automations (from workflow condition inventory); stale-beyond-SLA share per field.</x:v>
      </x:c>
      <x:c r="H76" s="16" t="str">
        <x:v>details write timestamps (via export deltas)</x:v>
      </x:c>
      <x:c r="I76" s="16" t="str">
        <x:v>—</x:v>
      </x:c>
      <x:c r="J76" s="16" t="str">
        <x:v>—</x:v>
      </x:c>
      <x:c r="K76" s="16" t="str">
        <x:v>Decision-critical fields no longer being maintained</x:v>
      </x:c>
      <x:c r="L76" s="16" t="str">
        <x:v>RC-05, RC-10</x:v>
      </x:c>
      <x:c r="M76" s="16" t="str">
        <x:v>An automation conditioned on a field last written 14 months ago is running on archaeology.</x:v>
      </x:c>
      <x:c r="N76" s="16" t="str">
        <x:v>Any detail-gated workflow</x:v>
      </x:c>
      <x:c r="O76" s="25" t="str">
        <x:v>Medium</x:v>
      </x:c>
      <x:c r="P76" s="23" t="str">
        <x:v>Medium</x:v>
      </x:c>
      <x:c r="Q76" s="16" t="str">
        <x:v>Per stale field: locate the abandoned writer (integration change, retired rule) and repair or retire the condition.</x:v>
      </x:c>
      <x:c r="R76" s="16" t="str">
        <x:v>Manual (guided)</x:v>
      </x:c>
      <x:c r="S76" s="16" t="str">
        <x:v>Data lead</x:v>
      </x:c>
      <x:c r="T76" s="16" t="str">
        <x:v>N/A — advisory routing.</x:v>
      </x:c>
      <x:c r="U76" s="23" t="str">
        <x:v>Initial + Recurring</x:v>
      </x:c>
      <x:c r="V76" s="23" t="str">
        <x:v>N</x:v>
      </x:c>
      <x:c r="W76" s="23" t="str">
        <x:v>—</x:v>
      </x:c>
      <x:c r="X76" s="23" t="str">
        <x:v>P1</x:v>
      </x:c>
    </x:row>
    <x:row r="77" ht="66" hidden="0" customHeight="1">
      <x:c r="A77" s="19" t="str">
        <x:v>SP-13</x:v>
      </x:c>
      <x:c r="B77" s="8" t="str">
        <x:v>04 Segment &amp; Property</x:v>
      </x:c>
      <x:c r="C77" s="8" t="str">
        <x:v>Source field mapping coverage</x:v>
      </x:c>
      <x:c r="D77" s="8" t="str">
        <x:v>Contact / Customer</x:v>
      </x:c>
      <x:c r="E77" s="8" t="str">
        <x:v>Shopify vs Manago</x:v>
      </x:c>
      <x:c r="F77" s="8" t="str">
        <x:v>Presence</x:v>
      </x:c>
      <x:c r="G77" s="8" t="str">
        <x:v>Which Shopify customer fields (tags, note attributes, metafields, accepts_marketing, orders_count, total_spent) are mapped into Manago at all; mapping coverage vs Klints canonical model requirements.</x:v>
      </x:c>
      <x:c r="H77" s="8" t="str">
        <x:v>details / tags (mapped targets)</x:v>
      </x:c>
      <x:c r="I77" s="8" t="str">
        <x:v>customers full field surface</x:v>
      </x:c>
      <x:c r="J77" s="8" t="str">
        <x:v>ERP fields (mapped subset)</x:v>
      </x:c>
      <x:c r="K77" s="8" t="str">
        <x:v>Valuable source fields never mapped — data exists, marketing can't see it</x:v>
      </x:c>
      <x:c r="L77" s="8" t="str">
        <x:v>RC-01, RC-02</x:v>
      </x:c>
      <x:c r="M77" s="8" t="str">
        <x:v>Unmapped fields are invisible leverage: e.g. Shopify customer tags carrying wholesale/retail split that Manago segmentation never receives.</x:v>
      </x:c>
      <x:c r="N77" s="8" t="str">
        <x:v>Segmentation depth generally</x:v>
      </x:c>
      <x:c r="O77" s="25" t="str">
        <x:v>Medium</x:v>
      </x:c>
      <x:c r="P77" s="21" t="str">
        <x:v>Medium</x:v>
      </x:c>
      <x:c r="Q77" s="8" t="str">
        <x:v>Mapping-coverage report against canonical model; propose mapping additions ranked by workflow value; implement via integration + backfill upsert.</x:v>
      </x:c>
      <x:c r="R77" s="8" t="str">
        <x:v>Integration build + Automated writeback (approved)</x:v>
      </x:c>
      <x:c r="S77" s="8" t="str">
        <x:v>Data lead</x:v>
      </x:c>
      <x:c r="T77" s="8" t="str">
        <x:v>New mappings additive; removable.</x:v>
      </x:c>
      <x:c r="U77" s="21" t="str">
        <x:v>Initial</x:v>
      </x:c>
      <x:c r="V77" s="21" t="str">
        <x:v>N</x:v>
      </x:c>
      <x:c r="W77" s="21" t="str">
        <x:v>—</x:v>
      </x:c>
      <x:c r="X77" s="21" t="str">
        <x:v>P1</x:v>
      </x:c>
    </x:row>
    <x:row r="78" ht="54" hidden="0" customHeight="1">
      <x:c r="A78" s="22" t="str">
        <x:v>SP-14</x:v>
      </x:c>
      <x:c r="B78" s="16" t="str">
        <x:v>04 Segment &amp; Property</x:v>
      </x:c>
      <x:c r="C78" s="16" t="str">
        <x:v>Loyalty state vs transaction reality</x:v>
      </x:c>
      <x:c r="D78" s="16" t="str">
        <x:v>Loyalty</x:v>
      </x:c>
      <x:c r="E78" s="16" t="str">
        <x:v>Manago</x:v>
      </x:c>
      <x:c r="F78" s="16" t="str">
        <x:v>Cross-system reconciliation</x:v>
      </x:c>
      <x:c r="G78" s="16" t="str">
        <x:v>Loyalty tier/points (v2 loyalty API) vs recomputed entitlement from net transaction history; over/under-credited cohorts.</x:v>
      </x:c>
      <x:c r="H78" s="16" t="str">
        <x:v>loyalty program state</x:v>
      </x:c>
      <x:c r="I78" s="16" t="str">
        <x:v>orders minus refunds</x:v>
      </x:c>
      <x:c r="J78" s="16" t="str">
        <x:v>ERP credit notes</x:v>
      </x:c>
      <x:c r="K78" s="16" t="str">
        <x:v>Loyalty state disconnected from real purchase behaviour</x:v>
      </x:c>
      <x:c r="L78" s="16" t="str">
        <x:v>RC-01, RC-05</x:v>
      </x:c>
      <x:c r="M78" s="16" t="str">
        <x:v>Over-credited members get margin-burning rewards; under-credited members experience the program as broken — both directly monetary.</x:v>
      </x:c>
      <x:c r="N78" s="16" t="str">
        <x:v>Loyalty flows, VIP rewards</x:v>
      </x:c>
      <x:c r="O78" s="25" t="str">
        <x:v>Medium</x:v>
      </x:c>
      <x:c r="P78" s="23" t="str">
        <x:v>Medium</x:v>
      </x:c>
      <x:c r="Q78" s="16" t="str">
        <x:v>Recompute entitlement on repaired event stream (post LE-09); adjustment plan approved by CRM manager; communicate corrections carefully (member-visible).</x:v>
      </x:c>
      <x:c r="R78" s="16" t="str">
        <x:v>Manual (guided)</x:v>
      </x:c>
      <x:c r="S78" s="16" t="str">
        <x:v>CRM manager</x:v>
      </x:c>
      <x:c r="T78" s="16" t="str">
        <x:v>Loyalty adjustments member-visible; treat as forward-only with communication plan.</x:v>
      </x:c>
      <x:c r="U78" s="23" t="str">
        <x:v>Initial</x:v>
      </x:c>
      <x:c r="V78" s="23" t="str">
        <x:v>N</x:v>
      </x:c>
      <x:c r="W78" s="23" t="str">
        <x:v>—</x:v>
      </x:c>
      <x:c r="X78" s="23" t="str">
        <x:v>P2</x:v>
      </x:c>
    </x:row>
    <x:row r="79" ht="15.75" hidden="0" customHeight="1">
      <x:c r="A79" s="5" t="str">
        <x:v>05 Channel &amp; Consent</x:v>
      </x:c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</x:row>
    <x:row r="80" ht="90" hidden="0" customHeight="1">
      <x:c r="A80" s="22" t="str">
        <x:v>CC-01</x:v>
      </x:c>
      <x:c r="B80" s="16" t="str">
        <x:v>05 Channel &amp; Consent</x:v>
      </x:c>
      <x:c r="C80" s="16" t="str">
        <x:v>Email opt-in parity</x:v>
      </x:c>
      <x:c r="D80" s="16" t="str">
        <x:v>Consent</x:v>
      </x:c>
      <x:c r="E80" s="16" t="str">
        <x:v>Shopify vs Manago</x:v>
      </x:c>
      <x:c r="F80" s="16" t="str">
        <x:v>Consent compliance</x:v>
      </x:c>
      <x:c r="G80" s="16" t="str">
        <x:v>Per linked identity: Shopify email_marketing_consent (state, opt_in_level, consent_updated_at) vs Manago email marketing status; four-quadrant matrix (in/in, in/out, out/in, out/out) with counts.</x:v>
      </x:c>
      <x:c r="H80" s="16" t="str">
        <x:v>email marketing consent + reason/source</x:v>
      </x:c>
      <x:c r="I80" s="16" t="str">
        <x:v>customers.email_marketing_consent</x:v>
      </x:c>
      <x:c r="J80" s="16" t="str">
        <x:v>—</x:v>
      </x:c>
      <x:c r="K80" s="16" t="str">
        <x:v>Consent states disagree between commerce and marketing platform</x:v>
      </x:c>
      <x:c r="L80" s="16" t="str">
        <x:v>RC-07, RC-05, RC-01</x:v>
      </x:c>
      <x:c r="M80" s="16" t="str">
        <x:v>out-of-sync 'in Shopify / out in Manago' = lost revenue reach; 'out in Shopify / in in Manago' = compliance exposure — the second quadrant is a GDPR incident waiting for a regulator.</x:v>
      </x:c>
      <x:c r="N80" s="16" t="str">
        <x:v>Every email send</x:v>
      </x:c>
      <x:c r="O80" s="20" t="str">
        <x:v>Critical</x:v>
      </x:c>
      <x:c r="P80" s="23" t="str">
        <x:v>High</x:v>
      </x:c>
      <x:c r="Q80" s="16" t="str">
        <x:v>Define consent source-of-truth and precedence per direction (opt-outs propagate everywhere immediately; opt-ins propagate only with provable consent record — agent-set opt-ins do not qualify, see CC-03); approved reconciliation batch via upsert with forceOptIn/forceOptOut used strictly per policy; live bi-directional sync thereafter.</x:v>
      </x:c>
      <x:c r="R80" s="16" t="str">
        <x:v>Integration build + Automated writeback (approved)</x:v>
      </x:c>
      <x:c r="S80" s="16" t="str">
        <x:v>Data lead</x:v>
      </x:c>
      <x:c r="T80" s="16" t="str">
        <x:v>Consent writes logged with prior state + source; opt-out propagation is deliberately not rolled back.</x:v>
      </x:c>
      <x:c r="U80" s="23" t="str">
        <x:v>Initial + Recurring</x:v>
      </x:c>
      <x:c r="V80" s="23" t="str">
        <x:v>Y</x:v>
      </x:c>
      <x:c r="W80" s="27" t="str">
        <x:v>T8 Consent reconciliation</x:v>
      </x:c>
      <x:c r="X80" s="23" t="str">
        <x:v>P0</x:v>
      </x:c>
    </x:row>
    <x:row r="81" ht="54" hidden="0" customHeight="1">
      <x:c r="A81" s="19" t="str">
        <x:v>CC-02</x:v>
      </x:c>
      <x:c r="B81" s="8" t="str">
        <x:v>05 Channel &amp; Consent</x:v>
      </x:c>
      <x:c r="C81" s="8" t="str">
        <x:v>SMS / mobile consent parity</x:v>
      </x:c>
      <x:c r="D81" s="8" t="str">
        <x:v>Consent</x:v>
      </x:c>
      <x:c r="E81" s="8" t="str">
        <x:v>Shopify vs Manago</x:v>
      </x:c>
      <x:c r="F81" s="8" t="str">
        <x:v>Consent compliance</x:v>
      </x:c>
      <x:c r="G81" s="8" t="str">
        <x:v>Shopify sms_marketing_consent vs Manago mobile marketing status on linked identities; same four-quadrant treatment as CC-01.</x:v>
      </x:c>
      <x:c r="H81" s="8" t="str">
        <x:v>mobile marketing consent</x:v>
      </x:c>
      <x:c r="I81" s="8" t="str">
        <x:v>customers.sms_marketing_consent</x:v>
      </x:c>
      <x:c r="J81" s="8" t="str">
        <x:v>—</x:v>
      </x:c>
      <x:c r="K81" s="8" t="str">
        <x:v>Mobile channel consent diverges</x:v>
      </x:c>
      <x:c r="L81" s="8" t="str">
        <x:v>RC-07, RC-05</x:v>
      </x:c>
      <x:c r="M81" s="8" t="str">
        <x:v>SMS is high-cost, high-regulation (per-message fees + telecom rules); sending to a revoked consent is both a fine risk and money burned.</x:v>
      </x:c>
      <x:c r="N81" s="8" t="str">
        <x:v>SMS flows, WhatsApp</x:v>
      </x:c>
      <x:c r="O81" s="20" t="str">
        <x:v>Critical</x:v>
      </x:c>
      <x:c r="P81" s="21" t="str">
        <x:v>High</x:v>
      </x:c>
      <x:c r="Q81" s="8" t="str">
        <x:v>Same source-of-truth policy as CC-01, mobile-specific; reconcile with approval; phone validity (CI-09) checked jointly so consented-but-unreachable is also surfaced.</x:v>
      </x:c>
      <x:c r="R81" s="8" t="str">
        <x:v>Integration build + Automated writeback (approved)</x:v>
      </x:c>
      <x:c r="S81" s="8" t="str">
        <x:v>Data lead</x:v>
      </x:c>
      <x:c r="T81" s="8" t="str">
        <x:v>Same posture as CC-01.</x:v>
      </x:c>
      <x:c r="U81" s="21" t="str">
        <x:v>Initial + Recurring</x:v>
      </x:c>
      <x:c r="V81" s="21" t="str">
        <x:v>Y</x:v>
      </x:c>
      <x:c r="W81" s="28" t="str">
        <x:v>T8 Consent reconciliation</x:v>
      </x:c>
      <x:c r="X81" s="21" t="str">
        <x:v>P0</x:v>
      </x:c>
    </x:row>
    <x:row r="82" ht="126" hidden="0" customHeight="1">
      <x:c r="A82" s="22" t="str">
        <x:v>CC-03</x:v>
      </x:c>
      <x:c r="B82" s="16" t="str">
        <x:v>05 Channel &amp; Consent</x:v>
      </x:c>
      <x:c r="C82" s="16" t="str">
        <x:v>Consent provenance completeness</x:v>
      </x:c>
      <x:c r="D82" s="16" t="str">
        <x:v>Consent</x:v>
      </x:c>
      <x:c r="E82" s="16" t="str">
        <x:v>Manago</x:v>
      </x:c>
      <x:c r="F82" s="16" t="str">
        <x:v>Presence</x:v>
      </x:c>
      <x:c r="G82" s="16" t="str">
        <x:v>Share of opted-in contacts with consent source/reason and timestamp populated; imports with consent state but no provenance flagged as a distinct cohort. NOTE (Malfini live-testing): consent written via the Manago assistant's add/opt-in action carries NO timestamped, customer-originated record — it is not proof of actual consent. Agent-set opt-ins must be treated as weak-provenance and flagged distinctly from customer-originated consent.</x:v>
      </x:c>
      <x:c r="H82" s="16" t="str">
        <x:v>consent source + reason fields; contact state</x:v>
      </x:c>
      <x:c r="I82" s="16" t="str">
        <x:v>customers consent_updated_at (cross-ref)</x:v>
      </x:c>
      <x:c r="J82" s="16" t="str">
        <x:v>—</x:v>
      </x:c>
      <x:c r="K82" s="16" t="str">
        <x:v>Opt-ins that cannot be evidenced</x:v>
      </x:c>
      <x:c r="L82" s="16" t="str">
        <x:v>RC-08, RC-09</x:v>
      </x:c>
      <x:c r="M82" s="16" t="str">
        <x:v>GDPR accountability requires demonstrating consent; an unevidenced opt-in cohort is indefensible in an audit and toxic to deliverability if it originated from a purchased list.</x:v>
      </x:c>
      <x:c r="N82" s="16" t="str">
        <x:v>All email/SMS sends; compliance posture</x:v>
      </x:c>
      <x:c r="O82" s="24" t="str">
        <x:v>High</x:v>
      </x:c>
      <x:c r="P82" s="23" t="str">
        <x:v>High</x:v>
      </x:c>
      <x:c r="Q82" s="16" t="str">
        <x:v>Provenance report per cohort; where Shopify holds the evidence, backfill source metadata; unevidenceable cohort → re-permission campaign proposal, not silent continued sending.</x:v>
      </x:c>
      <x:c r="R82" s="16" t="str">
        <x:v>Automated writeback (approved) + Manual (guided)</x:v>
      </x:c>
      <x:c r="S82" s="16" t="str">
        <x:v>Data lead</x:v>
      </x:c>
      <x:c r="T82" s="16" t="str">
        <x:v>Metadata backfill logged; re-permission is forward-only.</x:v>
      </x:c>
      <x:c r="U82" s="23" t="str">
        <x:v>Initial</x:v>
      </x:c>
      <x:c r="V82" s="23" t="str">
        <x:v>N</x:v>
      </x:c>
      <x:c r="W82" s="23" t="str">
        <x:v>—</x:v>
      </x:c>
      <x:c r="X82" s="23" t="str">
        <x:v>P0</x:v>
      </x:c>
    </x:row>
    <x:row r="83" ht="54" hidden="0" customHeight="1">
      <x:c r="A83" s="19" t="str">
        <x:v>CC-04</x:v>
      </x:c>
      <x:c r="B83" s="8" t="str">
        <x:v>05 Channel &amp; Consent</x:v>
      </x:c>
      <x:c r="C83" s="8" t="str">
        <x:v>Custom consents (GDPR) coverage</x:v>
      </x:c>
      <x:c r="D83" s="8" t="str">
        <x:v>Custom consent</x:v>
      </x:c>
      <x:c r="E83" s="8" t="str">
        <x:v>Manago</x:v>
      </x:c>
      <x:c r="F83" s="8" t="str">
        <x:v>Consent compliance</x:v>
      </x:c>
      <x:c r="G83" s="8" t="str">
        <x:v>Configured custom consents enumerated; per-consent distribution of Confirmed/Withdrawn/Not-confirmed; workflows conditioned on consents with near-zero Confirmed populations.</x:v>
      </x:c>
      <x:c r="H83" s="8" t="str">
        <x:v>custom consents (Confirmed / Withdrawn / Not confirmed)</x:v>
      </x:c>
      <x:c r="I83" s="8" t="str">
        <x:v>checkout consent capture points</x:v>
      </x:c>
      <x:c r="J83" s="8" t="str">
        <x:v>—</x:v>
      </x:c>
      <x:c r="K83" s="8" t="str">
        <x:v>Consent objects configured but unpopulated or unused</x:v>
      </x:c>
      <x:c r="L83" s="8" t="str">
        <x:v>RC-12, RC-01</x:v>
      </x:c>
      <x:c r="M83" s="8" t="str">
        <x:v>Profiling or third-party-data consents left unpopulated silently block (or should block) exactly the personalisation the tenant thinks is running.</x:v>
      </x:c>
      <x:c r="N83" s="8" t="str">
        <x:v>Consent-gated personalisation</x:v>
      </x:c>
      <x:c r="O83" s="25" t="str">
        <x:v>Medium</x:v>
      </x:c>
      <x:c r="P83" s="21" t="str">
        <x:v>Medium</x:v>
      </x:c>
      <x:c r="Q83" s="8" t="str">
        <x:v>Map each configured consent to its capture point; wire missing capture (checkout, preference center); report honest reachable-audience per consent.</x:v>
      </x:c>
      <x:c r="R83" s="8" t="str">
        <x:v>Integration build</x:v>
      </x:c>
      <x:c r="S83" s="8" t="str">
        <x:v>External integrator</x:v>
      </x:c>
      <x:c r="T83" s="8" t="str">
        <x:v>Forward-only capture wiring.</x:v>
      </x:c>
      <x:c r="U83" s="21" t="str">
        <x:v>Initial</x:v>
      </x:c>
      <x:c r="V83" s="21" t="str">
        <x:v>N</x:v>
      </x:c>
      <x:c r="W83" s="21" t="str">
        <x:v>—</x:v>
      </x:c>
      <x:c r="X83" s="21" t="str">
        <x:v>P1</x:v>
      </x:c>
    </x:row>
    <x:row r="84" ht="54" hidden="0" customHeight="1">
      <x:c r="A84" s="22" t="str">
        <x:v>CC-05</x:v>
      </x:c>
      <x:c r="B84" s="16" t="str">
        <x:v>05 Channel &amp; Consent</x:v>
      </x:c>
      <x:c r="C84" s="16" t="str">
        <x:v>Opt-out propagation loop</x:v>
      </x:c>
      <x:c r="D84" s="16" t="str">
        <x:v>Consent</x:v>
      </x:c>
      <x:c r="E84" s="16" t="str">
        <x:v>Manago vs Shopify</x:v>
      </x:c>
      <x:c r="F84" s="16" t="str">
        <x:v>Consent compliance</x:v>
      </x:c>
      <x:c r="G84" s="16" t="str">
        <x:v>Recent Manago opt-outs/resignations reflected back into Shopify consent state (and vice versa); measure propagation lag; suppression parity for hard bounces and complaints.</x:v>
      </x:c>
      <x:c r="H84" s="16" t="str">
        <x:v>opt-out events, callbacks (triggers_optin_out)</x:v>
      </x:c>
      <x:c r="I84" s="16" t="str">
        <x:v>customers consent update API</x:v>
      </x:c>
      <x:c r="J84" s="16" t="str">
        <x:v>—</x:v>
      </x:c>
      <x:c r="K84" s="16" t="str">
        <x:v>Unsubscribes don't propagate — the other system keeps 'consented'</x:v>
      </x:c>
      <x:c r="L84" s="16" t="str">
        <x:v>RC-01, RC-05, RC-07</x:v>
      </x:c>
      <x:c r="M84" s="16" t="str">
        <x:v>A customer who unsubscribed continues receiving via the other system's sends or future re-syncs; each occurrence is a complaint and a compliance mark.</x:v>
      </x:c>
      <x:c r="N84" s="16" t="str">
        <x:v>All sends from either system</x:v>
      </x:c>
      <x:c r="O84" s="20" t="str">
        <x:v>Critical</x:v>
      </x:c>
      <x:c r="P84" s="23" t="str">
        <x:v>High</x:v>
      </x:c>
      <x:c r="Q84" s="16" t="str">
        <x:v>Wire Manago callbacks (opt-in/out triggers) → Shopify consent update; reverse direction via consent webhook; verify loop with test identities.</x:v>
      </x:c>
      <x:c r="R84" s="16" t="str">
        <x:v>Integration build</x:v>
      </x:c>
      <x:c r="S84" s="16" t="str">
        <x:v>External integrator</x:v>
      </x:c>
      <x:c r="T84" s="16" t="str">
        <x:v>Forward-only; propagation deliberately not reversible.</x:v>
      </x:c>
      <x:c r="U84" s="23" t="str">
        <x:v>Initial + Recurring</x:v>
      </x:c>
      <x:c r="V84" s="23" t="str">
        <x:v>Y</x:v>
      </x:c>
      <x:c r="W84" s="27" t="str">
        <x:v>T8 Consent reconciliation</x:v>
      </x:c>
      <x:c r="X84" s="23" t="str">
        <x:v>P0</x:v>
      </x:c>
    </x:row>
    <x:row r="85" ht="54" hidden="0" customHeight="1">
      <x:c r="A85" s="19" t="str">
        <x:v>CC-06</x:v>
      </x:c>
      <x:c r="B85" s="8" t="str">
        <x:v>05 Channel &amp; Consent</x:v>
      </x:c>
      <x:c r="C85" s="8" t="str">
        <x:v>Double opt-in state integrity</x:v>
      </x:c>
      <x:c r="D85" s="8" t="str">
        <x:v>Consent</x:v>
      </x:c>
      <x:c r="E85" s="8" t="str">
        <x:v>Manago</x:v>
      </x:c>
      <x:c r="F85" s="8" t="str">
        <x:v>Consent compliance</x:v>
      </x:c>
      <x:c r="G85" s="8" t="str">
        <x:v>Share stuck in Not-confirmed beyond confirmation-window norms; confirmation email deliverability on the DOI flow; DOI policy consistency across signup sources.</x:v>
      </x:c>
      <x:c r="H85" s="8" t="str">
        <x:v>contact state, subscription confirmation emails (v3 email/list types)</x:v>
      </x:c>
      <x:c r="I85" s="8" t="str">
        <x:v>signup sources</x:v>
      </x:c>
      <x:c r="J85" s="8" t="str">
        <x:v>—</x:v>
      </x:c>
      <x:c r="K85" s="8" t="str">
        <x:v>DOI pipeline leaks — subscribers stall before confirmation</x:v>
      </x:c>
      <x:c r="L85" s="8" t="str">
        <x:v>RC-12, RC-15</x:v>
      </x:c>
      <x:c r="M85" s="8" t="str">
        <x:v>In DOI-mandatory markets the stuck cohort is legally unreachable; a broken confirmation email quietly caps list growth at the top of funnel.</x:v>
      </x:c>
      <x:c r="N85" s="8" t="str">
        <x:v>List growth, welcome flow entry</x:v>
      </x:c>
      <x:c r="O85" s="25" t="str">
        <x:v>Medium</x:v>
      </x:c>
      <x:c r="P85" s="21" t="str">
        <x:v>Medium</x:v>
      </x:c>
      <x:c r="Q85" s="8" t="str">
        <x:v>Audit DOI flow per signup source; fix confirmation template/link; propose re-confirmation nudge for the recent stuck cohort.</x:v>
      </x:c>
      <x:c r="R85" s="8" t="str">
        <x:v>Manual (guided)</x:v>
      </x:c>
      <x:c r="S85" s="8" t="str">
        <x:v>CRM manager</x:v>
      </x:c>
      <x:c r="T85" s="8" t="str">
        <x:v>N/A — flow configuration.</x:v>
      </x:c>
      <x:c r="U85" s="21" t="str">
        <x:v>Initial</x:v>
      </x:c>
      <x:c r="V85" s="21" t="str">
        <x:v>N</x:v>
      </x:c>
      <x:c r="W85" s="21" t="str">
        <x:v>—</x:v>
      </x:c>
      <x:c r="X85" s="21" t="str">
        <x:v>P1</x:v>
      </x:c>
    </x:row>
    <x:row r="86" ht="66" hidden="0" customHeight="1">
      <x:c r="A86" s="22" t="str">
        <x:v>CC-07</x:v>
      </x:c>
      <x:c r="B86" s="16" t="str">
        <x:v>05 Channel &amp; Consent</x:v>
      </x:c>
      <x:c r="C86" s="16" t="str">
        <x:v>Sends-vs-consent violation scan</x:v>
      </x:c>
      <x:c r="D86" s="16" t="str">
        <x:v>Send log / Consent</x:v>
      </x:c>
      <x:c r="E86" s="16" t="str">
        <x:v>Manago</x:v>
      </x:c>
      <x:c r="F86" s="16" t="str">
        <x:v>Consent compliance</x:v>
      </x:c>
      <x:c r="G86" s="16" t="str">
        <x:v>Retrospective sample: messages delivered to contacts whose state at send time was opt-out/blocked/Not-confirmed (as reconstructable); forward: automation entry conditions missing consent guards.</x:v>
      </x:c>
      <x:c r="H86" s="16" t="str">
        <x:v>sent messages history + contact state</x:v>
      </x:c>
      <x:c r="I86" s="16" t="str">
        <x:v>—</x:v>
      </x:c>
      <x:c r="J86" s="16" t="str">
        <x:v>—</x:v>
      </x:c>
      <x:c r="K86" s="16" t="str">
        <x:v>Evidence that consent is not actually enforced at send time</x:v>
      </x:c>
      <x:c r="L86" s="16" t="str">
        <x:v>RC-13, RC-12</x:v>
      </x:c>
      <x:c r="M86" s="16" t="str">
        <x:v>This is the difference between 'our consent data is messy' and 'we demonstrably message non-consented people' — the latter is the finding a DPO must act on immediately.</x:v>
      </x:c>
      <x:c r="N86" s="16" t="str">
        <x:v>All sends</x:v>
      </x:c>
      <x:c r="O86" s="20" t="str">
        <x:v>Critical</x:v>
      </x:c>
      <x:c r="P86" s="23" t="str">
        <x:v>High</x:v>
      </x:c>
      <x:c r="Q86" s="16" t="str">
        <x:v>Immediate: add consent guards to automation entry conditions lacking them; investigate mechanism of any confirmed violation; document remediation for compliance file.</x:v>
      </x:c>
      <x:c r="R86" s="16" t="str">
        <x:v>Manual (guided)</x:v>
      </x:c>
      <x:c r="S86" s="16" t="str">
        <x:v>Data lead</x:v>
      </x:c>
      <x:c r="T86" s="16" t="str">
        <x:v>N/A — configuration + investigation.</x:v>
      </x:c>
      <x:c r="U86" s="23" t="str">
        <x:v>Initial + Recurring</x:v>
      </x:c>
      <x:c r="V86" s="23" t="str">
        <x:v>N</x:v>
      </x:c>
      <x:c r="W86" s="23" t="str">
        <x:v>—</x:v>
      </x:c>
      <x:c r="X86" s="23" t="str">
        <x:v>P0</x:v>
      </x:c>
    </x:row>
    <x:row r="87" ht="54" hidden="0" customHeight="1">
      <x:c r="A87" s="19" t="str">
        <x:v>CC-08</x:v>
      </x:c>
      <x:c r="B87" s="8" t="str">
        <x:v>05 Channel &amp; Consent</x:v>
      </x:c>
      <x:c r="C87" s="8" t="str">
        <x:v>Dead-state contacts in active journeys</x:v>
      </x:c>
      <x:c r="D87" s="8" t="str">
        <x:v>Contact / Automation</x:v>
      </x:c>
      <x:c r="E87" s="8" t="str">
        <x:v>Manago</x:v>
      </x:c>
      <x:c r="F87" s="8" t="str">
        <x:v>Referential integrity</x:v>
      </x:c>
      <x:c r="G87" s="8" t="str">
        <x:v>Contacts in blocked/resigned/opt-out state currently sitting inside active workflow journeys or scheduled sends.</x:v>
      </x:c>
      <x:c r="H87" s="8" t="str">
        <x:v>workflow membership vs contact state</x:v>
      </x:c>
      <x:c r="I87" s="8" t="str">
        <x:v>—</x:v>
      </x:c>
      <x:c r="J87" s="8" t="str">
        <x:v>—</x:v>
      </x:c>
      <x:c r="K87" s="8" t="str">
        <x:v>Journeys retain members whose state should have ejected them</x:v>
      </x:c>
      <x:c r="L87" s="8" t="str">
        <x:v>RC-13, RC-05</x:v>
      </x:c>
      <x:c r="M87" s="8" t="str">
        <x:v>Depending on platform enforcement this is either wasted journey capacity or a live violation channel; either way journey analytics are polluted.</x:v>
      </x:c>
      <x:c r="N87" s="8" t="str">
        <x:v>All multi-step journeys</x:v>
      </x:c>
      <x:c r="O87" s="25" t="str">
        <x:v>Medium</x:v>
      </x:c>
      <x:c r="P87" s="21" t="str">
        <x:v>Medium</x:v>
      </x:c>
      <x:c r="Q87" s="8" t="str">
        <x:v>Add state-based exit conditions to journeys; eject current dead-state members with approval; recheck after platform behaviour is confirmed.</x:v>
      </x:c>
      <x:c r="R87" s="8" t="str">
        <x:v>Manual (guided)</x:v>
      </x:c>
      <x:c r="S87" s="8" t="str">
        <x:v>CRM manager</x:v>
      </x:c>
      <x:c r="T87" s="8" t="str">
        <x:v>Ejection logs retained; re-entry possible via rules.</x:v>
      </x:c>
      <x:c r="U87" s="21" t="str">
        <x:v>Initial + Recurring</x:v>
      </x:c>
      <x:c r="V87" s="21" t="str">
        <x:v>N</x:v>
      </x:c>
      <x:c r="W87" s="21" t="str">
        <x:v>—</x:v>
      </x:c>
      <x:c r="X87" s="21" t="str">
        <x:v>P1</x:v>
      </x:c>
    </x:row>
    <x:row r="88" ht="54" hidden="0" customHeight="1">
      <x:c r="A88" s="22" t="str">
        <x:v>CC-09</x:v>
      </x:c>
      <x:c r="B88" s="16" t="str">
        <x:v>05 Channel &amp; Consent</x:v>
      </x:c>
      <x:c r="C88" s="16" t="str">
        <x:v>Push consent coverage</x:v>
      </x:c>
      <x:c r="D88" s="16" t="str">
        <x:v>Web/Mobile push consent</x:v>
      </x:c>
      <x:c r="E88" s="16" t="str">
        <x:v>Manago</x:v>
      </x:c>
      <x:c r="F88" s="16" t="str">
        <x:v>Presence</x:v>
      </x:c>
      <x:c r="G88" s="16" t="str">
        <x:v>Web Push consent prompt configured and consent population &gt; 0 where push channel is claimed (v3 web/push/consent/list); mobile push token coverage where app exists.</x:v>
      </x:c>
      <x:c r="H88" s="16" t="str">
        <x:v>v3 webPush consent + templates; mobile push</x:v>
      </x:c>
      <x:c r="I88" s="16" t="str">
        <x:v>—</x:v>
      </x:c>
      <x:c r="J88" s="16" t="str">
        <x:v>—</x:v>
      </x:c>
      <x:c r="K88" s="16" t="str">
        <x:v>Push channel nominally available but consent base empty</x:v>
      </x:c>
      <x:c r="L88" s="16" t="str">
        <x:v>RC-12</x:v>
      </x:c>
      <x:c r="M88" s="16" t="str">
        <x:v>Workflows with push steps silently no-op for most of the base; channel-mix planning built on a fictional channel.</x:v>
      </x:c>
      <x:c r="N88" s="16" t="str">
        <x:v>Any push-step workflow</x:v>
      </x:c>
      <x:c r="O88" s="26" t="str">
        <x:v>Low</x:v>
      </x:c>
      <x:c r="P88" s="23" t="str">
        <x:v>Low</x:v>
      </x:c>
      <x:c r="Q88" s="16" t="str">
        <x:v>Honest channel-reach report; consent prompt optimisation proposed as opportunity; push steps in blueprints gated on measured reach.</x:v>
      </x:c>
      <x:c r="R88" s="16" t="str">
        <x:v>Manual (guided)</x:v>
      </x:c>
      <x:c r="S88" s="16" t="str">
        <x:v>CRM manager</x:v>
      </x:c>
      <x:c r="T88" s="16" t="str">
        <x:v>N/A — advisory.</x:v>
      </x:c>
      <x:c r="U88" s="23" t="str">
        <x:v>Initial</x:v>
      </x:c>
      <x:c r="V88" s="23" t="str">
        <x:v>N</x:v>
      </x:c>
      <x:c r="W88" s="23" t="str">
        <x:v>—</x:v>
      </x:c>
      <x:c r="X88" s="23" t="str">
        <x:v>P2</x:v>
      </x:c>
    </x:row>
    <x:row r="89" ht="54" hidden="0" customHeight="1">
      <x:c r="A89" s="19" t="str">
        <x:v>CC-10</x:v>
      </x:c>
      <x:c r="B89" s="8" t="str">
        <x:v>05 Channel &amp; Consent</x:v>
      </x:c>
      <x:c r="C89" s="8" t="str">
        <x:v>Consented-but-unreachable audit</x:v>
      </x:c>
      <x:c r="D89" s="8" t="str">
        <x:v>Contact</x:v>
      </x:c>
      <x:c r="E89" s="8" t="str">
        <x:v>Manago</x:v>
      </x:c>
      <x:c r="F89" s="8" t="str">
        <x:v>Cross-field consistency</x:v>
      </x:c>
      <x:c r="G89" s="8" t="str">
        <x:v>Contacts consented per channel but missing the channel address (SMS consent w/o valid phone per CI-09; email consent with invalid email per CI-08); reachable-audience truth per channel.</x:v>
      </x:c>
      <x:c r="H89" s="8" t="str">
        <x:v>consent states + address fields</x:v>
      </x:c>
      <x:c r="I89" s="8" t="str">
        <x:v>customers phone/email</x:v>
      </x:c>
      <x:c r="J89" s="8" t="str">
        <x:v>—</x:v>
      </x:c>
      <x:c r="K89" s="8" t="str">
        <x:v>Consent inventory overstates reachable audience</x:v>
      </x:c>
      <x:c r="L89" s="8" t="str">
        <x:v>RC-08, RC-02</x:v>
      </x:c>
      <x:c r="M89" s="8" t="str">
        <x:v>Campaign planning and revenue forecasts assume audiences that physically cannot be delivered to; expected-uplift math inherits the fiction.</x:v>
      </x:c>
      <x:c r="N89" s="8" t="str">
        <x:v>Channel planning, all forecasting</x:v>
      </x:c>
      <x:c r="O89" s="25" t="str">
        <x:v>Medium</x:v>
      </x:c>
      <x:c r="P89" s="21" t="str">
        <x:v>Medium</x:v>
      </x:c>
      <x:c r="Q89" s="8" t="str">
        <x:v>Reachability matrix (consent × valid address) published as the planning truth; repair overlaps with CI-08/09 fixes.</x:v>
      </x:c>
      <x:c r="R89" s="8" t="str">
        <x:v>Configuration</x:v>
      </x:c>
      <x:c r="S89" s="8" t="str">
        <x:v>Klints (automated)</x:v>
      </x:c>
      <x:c r="T89" s="8" t="str">
        <x:v>N/A — derived reporting.</x:v>
      </x:c>
      <x:c r="U89" s="21" t="str">
        <x:v>Initial + Recurring</x:v>
      </x:c>
      <x:c r="V89" s="21" t="str">
        <x:v>N</x:v>
      </x:c>
      <x:c r="W89" s="21" t="str">
        <x:v>—</x:v>
      </x:c>
      <x:c r="X89" s="21" t="str">
        <x:v>P1</x:v>
      </x:c>
    </x:row>
    <x:row r="90" ht="54" hidden="0" customHeight="1">
      <x:c r="A90" s="22" t="str">
        <x:v>CC-11</x:v>
      </x:c>
      <x:c r="B90" s="16" t="str">
        <x:v>05 Channel &amp; Consent</x:v>
      </x:c>
      <x:c r="C90" s="16" t="str">
        <x:v>Deletion/erasure propagation</x:v>
      </x:c>
      <x:c r="D90" s="16" t="str">
        <x:v>Contact</x:v>
      </x:c>
      <x:c r="E90" s="16" t="str">
        <x:v>Manago vs Shopify vs ERP</x:v>
      </x:c>
      <x:c r="F90" s="16" t="str">
        <x:v>Consent compliance</x:v>
      </x:c>
      <x:c r="G90" s="16" t="str">
        <x:v>GDPR deletion requests executed in one system reflected in the others (Manago deletion callbacks vs Shopify redaction webhooks vs ERP anonymisation); orphaned PII detection.</x:v>
      </x:c>
      <x:c r="H90" s="16" t="str">
        <x:v>callbacks (triggers_deletion)</x:v>
      </x:c>
      <x:c r="I90" s="16" t="str">
        <x:v>customers/redact, shop/redact webhooks</x:v>
      </x:c>
      <x:c r="J90" s="16" t="str">
        <x:v>ERP anonymisation log</x:v>
      </x:c>
      <x:c r="K90" s="16" t="str">
        <x:v>Erased-in-one, alive-in-another PII</x:v>
      </x:c>
      <x:c r="L90" s="16" t="str">
        <x:v>RC-01, RC-07</x:v>
      </x:c>
      <x:c r="M90" s="16" t="str">
        <x:v>An executed erasure request that leaves the person's PII live in a connected system is a direct GDPR breach with the request itself as evidence.</x:v>
      </x:c>
      <x:c r="N90" s="16" t="str">
        <x:v>Compliance posture; suppression integrity</x:v>
      </x:c>
      <x:c r="O90" s="20" t="str">
        <x:v>Critical</x:v>
      </x:c>
      <x:c r="P90" s="23" t="str">
        <x:v>High</x:v>
      </x:c>
      <x:c r="Q90" s="16" t="str">
        <x:v>Wire deletion callback chain across systems; reconcile historical deletions (tombstone list comparison); Klints canonical layer keeps hashed tombstones only.</x:v>
      </x:c>
      <x:c r="R90" s="16" t="str">
        <x:v>Integration build</x:v>
      </x:c>
      <x:c r="S90" s="16" t="str">
        <x:v>External integrator</x:v>
      </x:c>
      <x:c r="T90" s="16" t="str">
        <x:v>Deletions irreversible by design; tombstones prevent resurrection via backfill.</x:v>
      </x:c>
      <x:c r="U90" s="23" t="str">
        <x:v>Initial + Recurring</x:v>
      </x:c>
      <x:c r="V90" s="23" t="str">
        <x:v>N</x:v>
      </x:c>
      <x:c r="W90" s="23" t="str">
        <x:v>—</x:v>
      </x:c>
      <x:c r="X90" s="23" t="str">
        <x:v>P0</x:v>
      </x:c>
    </x:row>
    <x:row r="91" ht="54" hidden="0" customHeight="1">
      <x:c r="A91" s="19" t="str">
        <x:v>CC-12</x:v>
      </x:c>
      <x:c r="B91" s="8" t="str">
        <x:v>05 Channel &amp; Consent</x:v>
      </x:c>
      <x:c r="C91" s="8" t="str">
        <x:v>Consent age and re-permission surface</x:v>
      </x:c>
      <x:c r="D91" s="8" t="str">
        <x:v>Consent</x:v>
      </x:c>
      <x:c r="E91" s="8" t="str">
        <x:v>Manago</x:v>
      </x:c>
      <x:c r="F91" s="8" t="str">
        <x:v>Freshness</x:v>
      </x:c>
      <x:c r="G91" s="8" t="str">
        <x:v>Age distribution of consent timestamps; cohorts consented under superseded policy versions or beyond market-specific staleness norms.</x:v>
      </x:c>
      <x:c r="H91" s="8" t="str">
        <x:v>consent timestamps + policy version (if tracked)</x:v>
      </x:c>
      <x:c r="I91" s="8" t="str">
        <x:v>—</x:v>
      </x:c>
      <x:c r="J91" s="8" t="str">
        <x:v>—</x:v>
      </x:c>
      <x:c r="K91" s="8" t="str">
        <x:v>Consent base ageing beyond defensible freshness</x:v>
      </x:c>
      <x:c r="L91" s="8" t="str">
        <x:v>RC-09</x:v>
      </x:c>
      <x:c r="M91" s="8" t="str">
        <x:v>Not an acute violation but a decaying asset: old consent correlates with disengagement and weakens the compliance posture; better surfaced than discovered.</x:v>
      </x:c>
      <x:c r="N91" s="8" t="str">
        <x:v>Deliverability strategy</x:v>
      </x:c>
      <x:c r="O91" s="26" t="str">
        <x:v>Low</x:v>
      </x:c>
      <x:c r="P91" s="21" t="str">
        <x:v>Low</x:v>
      </x:c>
      <x:c r="Q91" s="8" t="str">
        <x:v>Report cohort ages; re-permission / sunset policy proposed as strategy decision, never auto-executed.</x:v>
      </x:c>
      <x:c r="R91" s="8" t="str">
        <x:v>Manual (guided)</x:v>
      </x:c>
      <x:c r="S91" s="8" t="str">
        <x:v>Data lead</x:v>
      </x:c>
      <x:c r="T91" s="8" t="str">
        <x:v>N/A — advisory.</x:v>
      </x:c>
      <x:c r="U91" s="21" t="str">
        <x:v>Initial</x:v>
      </x:c>
      <x:c r="V91" s="21" t="str">
        <x:v>N</x:v>
      </x:c>
      <x:c r="W91" s="21" t="str">
        <x:v>—</x:v>
      </x:c>
      <x:c r="X91" s="21" t="str">
        <x:v>P2</x:v>
      </x:c>
    </x:row>
    <x:row r="92" ht="15.75" hidden="0" customHeight="1">
      <x:c r="A92" s="5" t="str">
        <x:v>06 Measurement</x:v>
      </x:c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</x:row>
    <x:row r="93" ht="54" hidden="0" customHeight="1">
      <x:c r="A93" s="19" t="str">
        <x:v>ME-01</x:v>
      </x:c>
      <x:c r="B93" s="8" t="str">
        <x:v>06 Measurement</x:v>
      </x:c>
      <x:c r="C93" s="8" t="str">
        <x:v>UTM hygiene on captured traffic</x:v>
      </x:c>
      <x:c r="D93" s="8" t="str">
        <x:v>Visit / UTM</x:v>
      </x:c>
      <x:c r="E93" s="8" t="str">
        <x:v>Manago</x:v>
      </x:c>
      <x:c r="F93" s="8" t="str">
        <x:v>Schema / format</x:v>
      </x:c>
      <x:c r="G93" s="8" t="str">
        <x:v>UTM parameter presence and vocabulary consistency on visit records (casing, source/medium taxonomy drift, self-referral pollution); coverage of paid traffic carrying UTMs at all.</x:v>
      </x:c>
      <x:c r="H93" s="8" t="str">
        <x:v>visit history (UTM fields)</x:v>
      </x:c>
      <x:c r="I93" s="8" t="str">
        <x:v>landing URLs</x:v>
      </x:c>
      <x:c r="J93" s="8" t="str">
        <x:v>—</x:v>
      </x:c>
      <x:c r="K93" s="8" t="str">
        <x:v>Attribution vocabulary fragmented or absent</x:v>
      </x:c>
      <x:c r="L93" s="8" t="str">
        <x:v>RC-08, RC-06</x:v>
      </x:c>
      <x:c r="M93" s="8" t="str">
        <x:v>Source-based segments ('came from Meta') and channel ROI reads fragment across utm_source=facebook/Facebook/fb; paid-traffic workflows lose their trigger.</x:v>
      </x:c>
      <x:c r="N93" s="8" t="str">
        <x:v>Paid high-CAC activation, source-based segments</x:v>
      </x:c>
      <x:c r="O93" s="25" t="str">
        <x:v>Medium</x:v>
      </x:c>
      <x:c r="P93" s="21" t="str">
        <x:v>Medium</x:v>
      </x:c>
      <x:c r="Q93" s="8" t="str">
        <x:v>UTM taxonomy contract (canonical vocabulary in config); normalisation view in Klints canonical layer; upstream tagging fixes at ad-platform level advised.</x:v>
      </x:c>
      <x:c r="R93" s="8" t="str">
        <x:v>Configuration</x:v>
      </x:c>
      <x:c r="S93" s="8" t="str">
        <x:v>Data lead</x:v>
      </x:c>
      <x:c r="T93" s="8" t="str">
        <x:v>Canonical-layer normalisation reversible.</x:v>
      </x:c>
      <x:c r="U93" s="21" t="str">
        <x:v>Initial + Recurring</x:v>
      </x:c>
      <x:c r="V93" s="21" t="str">
        <x:v>N</x:v>
      </x:c>
      <x:c r="W93" s="21" t="str">
        <x:v>—</x:v>
      </x:c>
      <x:c r="X93" s="21" t="str">
        <x:v>P1</x:v>
      </x:c>
    </x:row>
    <x:row r="94" ht="54" hidden="0" customHeight="1">
      <x:c r="A94" s="22" t="str">
        <x:v>ME-02</x:v>
      </x:c>
      <x:c r="B94" s="16" t="str">
        <x:v>06 Measurement</x:v>
      </x:c>
      <x:c r="C94" s="16" t="str">
        <x:v>Workflow revenue attribution wiring</x:v>
      </x:c>
      <x:c r="D94" s="16" t="str">
        <x:v>Workflow / Conversion</x:v>
      </x:c>
      <x:c r="E94" s="16" t="str">
        <x:v>Manago</x:v>
      </x:c>
      <x:c r="F94" s="16" t="str">
        <x:v>Presence</x:v>
      </x:c>
      <x:c r="G94" s="16" t="str">
        <x:v>Active revenue-relevant automations have conversion measurement wired (PURCHASE linkage present in analytics); share of live workflows with zero measurable outcome path.</x:v>
      </x:c>
      <x:c r="H94" s="16" t="str">
        <x:v>workflow analytics; PURCHASE events (auto-analytics)</x:v>
      </x:c>
      <x:c r="I94" s="16" t="str">
        <x:v>—</x:v>
      </x:c>
      <x:c r="J94" s="16" t="str">
        <x:v>—</x:v>
      </x:c>
      <x:c r="K94" s="16" t="str">
        <x:v>Workflows run unmeasured — no outcome ever attributable</x:v>
      </x:c>
      <x:c r="L94" s="16" t="str">
        <x:v>RC-12</x:v>
      </x:c>
      <x:c r="M94" s="16" t="str">
        <x:v>Unmeasured workflows can't be improved or killed; the Klints impact loop (and the tenant's ROI story) needs this wiring as a precondition.</x:v>
      </x:c>
      <x:c r="N94" s="16" t="str">
        <x:v>Every revenue workflow; Klints learning loop</x:v>
      </x:c>
      <x:c r="O94" s="24" t="str">
        <x:v>High</x:v>
      </x:c>
      <x:c r="P94" s="23" t="str">
        <x:v>High</x:v>
      </x:c>
      <x:c r="Q94" s="16" t="str">
        <x:v>Measurement plan per live workflow (conversion definition, window); wire missing linkage; Klints blueprints ship with measurement plans mandatory going forward.</x:v>
      </x:c>
      <x:c r="R94" s="16" t="str">
        <x:v>Manual (guided)</x:v>
      </x:c>
      <x:c r="S94" s="16" t="str">
        <x:v>CRM manager</x:v>
      </x:c>
      <x:c r="T94" s="16" t="str">
        <x:v>N/A — configuration.</x:v>
      </x:c>
      <x:c r="U94" s="23" t="str">
        <x:v>Initial</x:v>
      </x:c>
      <x:c r="V94" s="23" t="str">
        <x:v>N</x:v>
      </x:c>
      <x:c r="W94" s="23" t="str">
        <x:v>—</x:v>
      </x:c>
      <x:c r="X94" s="23" t="str">
        <x:v>P0</x:v>
      </x:c>
    </x:row>
    <x:row r="95" ht="42" hidden="0" customHeight="1">
      <x:c r="A95" s="19" t="str">
        <x:v>ME-03</x:v>
      </x:c>
      <x:c r="B95" s="8" t="str">
        <x:v>06 Measurement</x:v>
      </x:c>
      <x:c r="C95" s="8" t="str">
        <x:v>Shop domain consistency on events</x:v>
      </x:c>
      <x:c r="D95" s="8" t="str">
        <x:v>Event / Store</x:v>
      </x:c>
      <x:c r="E95" s="8" t="str">
        <x:v>Manago</x:v>
      </x:c>
      <x:c r="F95" s="8" t="str">
        <x:v>Schema / format</x:v>
      </x:c>
      <x:c r="G95" s="8" t="str">
        <x:v>shopDomain field on events consistent with the store registry (FD-06); events with missing/foreign shopDomain quantified per store.</x:v>
      </x:c>
      <x:c r="H95" s="8" t="str">
        <x:v>event shopDomain</x:v>
      </x:c>
      <x:c r="I95" s="8" t="str">
        <x:v>store domains</x:v>
      </x:c>
      <x:c r="J95" s="8" t="str">
        <x:v>—</x:v>
      </x:c>
      <x:c r="K95" s="8" t="str">
        <x:v>Events not attributable to the right store</x:v>
      </x:c>
      <x:c r="L95" s="8" t="str">
        <x:v>RC-11, RC-02</x:v>
      </x:c>
      <x:c r="M95" s="8" t="str">
        <x:v>Multi-store tenants lose per-store revenue reads; store-scoped automations mis-trigger across markets.</x:v>
      </x:c>
      <x:c r="N95" s="8" t="str">
        <x:v>Multi-store reporting and flows</x:v>
      </x:c>
      <x:c r="O95" s="25" t="str">
        <x:v>Medium</x:v>
      </x:c>
      <x:c r="P95" s="21" t="str">
        <x:v>Medium</x:v>
      </x:c>
      <x:c r="Q95" s="8" t="str">
        <x:v>Canonical store registry enforced at integration; historical missing values inferred from location field where unambiguous.</x:v>
      </x:c>
      <x:c r="R95" s="8" t="str">
        <x:v>Integration build</x:v>
      </x:c>
      <x:c r="S95" s="8" t="str">
        <x:v>External integrator</x:v>
      </x:c>
      <x:c r="T95" s="8" t="str">
        <x:v>Forward-only + canonical inference.</x:v>
      </x:c>
      <x:c r="U95" s="21" t="str">
        <x:v>Initial</x:v>
      </x:c>
      <x:c r="V95" s="21" t="str">
        <x:v>N</x:v>
      </x:c>
      <x:c r="W95" s="21" t="str">
        <x:v>—</x:v>
      </x:c>
      <x:c r="X95" s="21" t="str">
        <x:v>P1</x:v>
      </x:c>
    </x:row>
    <x:row r="96" ht="42" hidden="0" customHeight="1">
      <x:c r="A96" s="22" t="str">
        <x:v>ME-04</x:v>
      </x:c>
      <x:c r="B96" s="16" t="str">
        <x:v>06 Measurement</x:v>
      </x:c>
      <x:c r="C96" s="16" t="str">
        <x:v>Message engagement data flowing</x:v>
      </x:c>
      <x:c r="D96" s="16" t="str">
        <x:v>Send / Engagement</x:v>
      </x:c>
      <x:c r="E96" s="16" t="str">
        <x:v>Manago</x:v>
      </x:c>
      <x:c r="F96" s="16" t="str">
        <x:v>Presence</x:v>
      </x:c>
      <x:c r="G96" s="16" t="str">
        <x:v>Sent-messages history populated with opens/clicks per channel; per-channel gaps (e.g. SMS delivery receipts absent) enumerated.</x:v>
      </x:c>
      <x:c r="H96" s="16" t="str">
        <x:v>sent messages history; channel stats (v3 webpush/stats etc.)</x:v>
      </x:c>
      <x:c r="I96" s="16" t="str">
        <x:v>—</x:v>
      </x:c>
      <x:c r="J96" s="16" t="str">
        <x:v>—</x:v>
      </x:c>
      <x:c r="K96" s="16" t="str">
        <x:v>Engagement telemetry missing for some channels</x:v>
      </x:c>
      <x:c r="L96" s="16" t="str">
        <x:v>RC-12, RC-01</x:v>
      </x:c>
      <x:c r="M96" s="16" t="str">
        <x:v>Engagement-recency segments and send-time logic go blind on the affected channel; A/B outcomes unreadable.</x:v>
      </x:c>
      <x:c r="N96" s="16" t="str">
        <x:v>Engagement-based segments, sunset policies</x:v>
      </x:c>
      <x:c r="O96" s="25" t="str">
        <x:v>Medium</x:v>
      </x:c>
      <x:c r="P96" s="23" t="str">
        <x:v>Medium</x:v>
      </x:c>
      <x:c r="Q96" s="16" t="str">
        <x:v>Per-channel telemetry audit; fix tracking configuration (link wrapping, receipt callbacks); report honest coverage.</x:v>
      </x:c>
      <x:c r="R96" s="16" t="str">
        <x:v>Configuration</x:v>
      </x:c>
      <x:c r="S96" s="16" t="str">
        <x:v>External integrator</x:v>
      </x:c>
      <x:c r="T96" s="16" t="str">
        <x:v>Configuration change.</x:v>
      </x:c>
      <x:c r="U96" s="23" t="str">
        <x:v>Initial</x:v>
      </x:c>
      <x:c r="V96" s="23" t="str">
        <x:v>N</x:v>
      </x:c>
      <x:c r="W96" s="23" t="str">
        <x:v>—</x:v>
      </x:c>
      <x:c r="X96" s="23" t="str">
        <x:v>P1</x:v>
      </x:c>
    </x:row>
    <x:row r="97" ht="54" hidden="0" customHeight="1">
      <x:c r="A97" s="19" t="str">
        <x:v>ME-05</x:v>
      </x:c>
      <x:c r="B97" s="8" t="str">
        <x:v>06 Measurement</x:v>
      </x:c>
      <x:c r="C97" s="8" t="str">
        <x:v>Conversion deduplication rule</x:v>
      </x:c>
      <x:c r="D97" s="8" t="str">
        <x:v>Conversion</x:v>
      </x:c>
      <x:c r="E97" s="8" t="str">
        <x:v>Manago</x:v>
      </x:c>
      <x:c r="F97" s="8" t="str">
        <x:v>Uniqueness</x:v>
      </x:c>
      <x:c r="G97" s="8" t="str">
        <x:v>Same order attributed as conversion to multiple workflows/campaigns without a documented precedence rule; overlap quantified on sampled orders.</x:v>
      </x:c>
      <x:c r="H97" s="8" t="str">
        <x:v>workflow conversion attribution</x:v>
      </x:c>
      <x:c r="I97" s="8" t="str">
        <x:v>orders (truth denominator)</x:v>
      </x:c>
      <x:c r="J97" s="8" t="str">
        <x:v>—</x:v>
      </x:c>
      <x:c r="K97" s="8" t="str">
        <x:v>Sum of claimed workflow revenue exceeds real revenue</x:v>
      </x:c>
      <x:c r="L97" s="8" t="str">
        <x:v>RC-06, RC-13</x:v>
      </x:c>
      <x:c r="M97" s="8" t="str">
        <x:v>When attribution sums to 130% of revenue, finance stops believing all of it — including the workflows that genuinely perform.</x:v>
      </x:c>
      <x:c r="N97" s="8" t="str">
        <x:v>Reporting credibility; budget decisions</x:v>
      </x:c>
      <x:c r="O97" s="25" t="str">
        <x:v>Medium</x:v>
      </x:c>
      <x:c r="P97" s="21" t="str">
        <x:v>Medium</x:v>
      </x:c>
      <x:c r="Q97" s="8" t="str">
        <x:v>Attribution precedence rule in Klints canonical layer (e.g. last-touch within window); platform-side settings aligned where configurable; report both raw and deduplicated.</x:v>
      </x:c>
      <x:c r="R97" s="8" t="str">
        <x:v>Configuration</x:v>
      </x:c>
      <x:c r="S97" s="8" t="str">
        <x:v>Data lead</x:v>
      </x:c>
      <x:c r="T97" s="8" t="str">
        <x:v>Canonical-layer rule; reversible.</x:v>
      </x:c>
      <x:c r="U97" s="21" t="str">
        <x:v>Initial</x:v>
      </x:c>
      <x:c r="V97" s="21" t="str">
        <x:v>N</x:v>
      </x:c>
      <x:c r="W97" s="21" t="str">
        <x:v>—</x:v>
      </x:c>
      <x:c r="X97" s="21" t="str">
        <x:v>P1</x:v>
      </x:c>
    </x:row>
    <x:row r="98" ht="54" hidden="0" customHeight="1">
      <x:c r="A98" s="22" t="str">
        <x:v>ME-06</x:v>
      </x:c>
      <x:c r="B98" s="16" t="str">
        <x:v>06 Measurement</x:v>
      </x:c>
      <x:c r="C98" s="16" t="str">
        <x:v>Timezone and clock consistency</x:v>
      </x:c>
      <x:c r="D98" s="16" t="str">
        <x:v>Timestamps</x:v>
      </x:c>
      <x:c r="E98" s="16" t="str">
        <x:v>Manago vs Shopify vs ERP</x:v>
      </x:c>
      <x:c r="F98" s="16" t="str">
        <x:v>Schema / format</x:v>
      </x:c>
      <x:c r="G98" s="16" t="str">
        <x:v>Systematic timestamp offsets between systems on matched entities (order created vs event date); DST artifacts; tenant-timezone config verified.</x:v>
      </x:c>
      <x:c r="H98" s="16" t="str">
        <x:v>event date (UTC ms)</x:v>
      </x:c>
      <x:c r="I98" s="16" t="str">
        <x:v>orders.created_at (ISO, shop TZ)</x:v>
      </x:c>
      <x:c r="J98" s="16" t="str">
        <x:v>ERP document timestamps</x:v>
      </x:c>
      <x:c r="K98" s="16" t="str">
        <x:v>Systems disagree on when things happened</x:v>
      </x:c>
      <x:c r="L98" s="16" t="str">
        <x:v>RC-14</x:v>
      </x:c>
      <x:c r="M98" s="16" t="str">
        <x:v>Day-boundary metrics shift (daily revenue off by a few %), send-time optimisation trains on offset data, and reconciliation windows misalign at edges.</x:v>
      </x:c>
      <x:c r="N98" s="16" t="str">
        <x:v>Send-time logic, daily reporting, reconciliations</x:v>
      </x:c>
      <x:c r="O98" s="26" t="str">
        <x:v>Low</x:v>
      </x:c>
      <x:c r="P98" s="23" t="str">
        <x:v>Medium</x:v>
      </x:c>
      <x:c r="Q98" s="16" t="str">
        <x:v>Canonical layer normalises all timestamps to UTC with documented source offsets; no source-system rewrite.</x:v>
      </x:c>
      <x:c r="R98" s="16" t="str">
        <x:v>Configuration</x:v>
      </x:c>
      <x:c r="S98" s="16" t="str">
        <x:v>Klints (automated)</x:v>
      </x:c>
      <x:c r="T98" s="16" t="str">
        <x:v>Canonical normalisation only.</x:v>
      </x:c>
      <x:c r="U98" s="23" t="str">
        <x:v>Initial</x:v>
      </x:c>
      <x:c r="V98" s="23" t="str">
        <x:v>N</x:v>
      </x:c>
      <x:c r="W98" s="23" t="str">
        <x:v>—</x:v>
      </x:c>
      <x:c r="X98" s="23" t="str">
        <x:v>P1</x:v>
      </x:c>
    </x:row>
    <x:row r="99" ht="54" hidden="0" customHeight="1">
      <x:c r="A99" s="19" t="str">
        <x:v>ME-07</x:v>
      </x:c>
      <x:c r="B99" s="8" t="str">
        <x:v>06 Measurement</x:v>
      </x:c>
      <x:c r="C99" s="8" t="str">
        <x:v>Revenue value presence on purchase events</x:v>
      </x:c>
      <x:c r="D99" s="8" t="str">
        <x:v>PURCHASE event</x:v>
      </x:c>
      <x:c r="E99" s="8" t="str">
        <x:v>Manago</x:v>
      </x:c>
      <x:c r="F99" s="8" t="str">
        <x:v>Presence</x:v>
      </x:c>
      <x:c r="G99" s="8" t="str">
        <x:v>Share of PURCHASE events with value populated and &gt; 0; zero/null-value purchases quantified (they poison AOV and revenue analytics).</x:v>
      </x:c>
      <x:c r="H99" s="8" t="str">
        <x:v>event value</x:v>
      </x:c>
      <x:c r="I99" s="8" t="str">
        <x:v>orders.total_price</x:v>
      </x:c>
      <x:c r="J99" s="8" t="str">
        <x:v>—</x:v>
      </x:c>
      <x:c r="K99" s="8" t="str">
        <x:v>Purchases recorded without monetary value</x:v>
      </x:c>
      <x:c r="L99" s="8" t="str">
        <x:v>RC-02, RC-13</x:v>
      </x:c>
      <x:c r="M99" s="8" t="str">
        <x:v>Zero-value purchases drag AOV, make revenue-per-workflow undercount, and slip through value-threshold conditions.</x:v>
      </x:c>
      <x:c r="N99" s="8" t="str">
        <x:v>All value analytics</x:v>
      </x:c>
      <x:c r="O99" s="25" t="str">
        <x:v>Medium</x:v>
      </x:c>
      <x:c r="P99" s="21" t="str">
        <x:v>Medium</x:v>
      </x:c>
      <x:c r="Q99" s="8" t="str">
        <x:v>Backfill values from matched orders via event update where externalId allows; integration validation (reject zero-value purchase emission unless genuinely free).</x:v>
      </x:c>
      <x:c r="R99" s="8" t="str">
        <x:v>Automated writeback (approved)</x:v>
      </x:c>
      <x:c r="S99" s="8" t="str">
        <x:v>Klints (automated)</x:v>
      </x:c>
      <x:c r="T99" s="8" t="str">
        <x:v>Updates overwrite; prior in raw layer.</x:v>
      </x:c>
      <x:c r="U99" s="21" t="str">
        <x:v>Initial</x:v>
      </x:c>
      <x:c r="V99" s="21" t="str">
        <x:v>N</x:v>
      </x:c>
      <x:c r="W99" s="21" t="str">
        <x:v>—</x:v>
      </x:c>
      <x:c r="X99" s="21" t="str">
        <x:v>P1</x:v>
      </x:c>
    </x:row>
    <x:row r="100" ht="54" hidden="0" customHeight="1">
      <x:c r="A100" s="22" t="str">
        <x:v>ME-08</x:v>
      </x:c>
      <x:c r="B100" s="16" t="str">
        <x:v>06 Measurement</x:v>
      </x:c>
      <x:c r="C100" s="16" t="str">
        <x:v>Baseline computability for impact claims</x:v>
      </x:c>
      <x:c r="D100" s="16" t="str">
        <x:v>Analytics</x:v>
      </x:c>
      <x:c r="E100" s="16" t="str">
        <x:v>Manago vs Shopify</x:v>
      </x:c>
      <x:c r="F100" s="16" t="str">
        <x:v>Statistical anomaly</x:v>
      </x:c>
      <x:c r="G100" s="16" t="str">
        <x:v>Sufficient clean history (post other fixes) to compute pre-period baselines for the workflows Klints will propose: revenue, repeat rate, AOV by segment with confidence bounds.</x:v>
      </x:c>
      <x:c r="H100" s="16" t="str">
        <x:v>reconciled event stream</x:v>
      </x:c>
      <x:c r="I100" s="16" t="str">
        <x:v>orders history</x:v>
      </x:c>
      <x:c r="J100" s="16" t="str">
        <x:v>ERP margin (for margin baselines)</x:v>
      </x:c>
      <x:c r="K100" s="16" t="str">
        <x:v>Impact claims would rest on uncomputable or noisy baselines</x:v>
      </x:c>
      <x:c r="L100" s="16" t="str">
        <x:v>RC-09</x:v>
      </x:c>
      <x:c r="M100" s="16" t="str">
        <x:v>Klints' credibility model is measured impact; proposing a workflow whose uplift can't be measured against a baseline breaks the learning loop and the sales narrative.</x:v>
      </x:c>
      <x:c r="N100" s="16" t="str">
        <x:v>Klints learning loop; every blueprint's expected-impact field</x:v>
      </x:c>
      <x:c r="O100" s="25" t="str">
        <x:v>Medium</x:v>
      </x:c>
      <x:c r="P100" s="23" t="str">
        <x:v>Medium</x:v>
      </x:c>
      <x:c r="Q100" s="16" t="str">
        <x:v>Baseline coverage report per candidate workflow; where baseline is weak, blueprint impact stated as band with explicit confidence, never a point estimate.</x:v>
      </x:c>
      <x:c r="R100" s="16" t="str">
        <x:v>Configuration</x:v>
      </x:c>
      <x:c r="S100" s="16" t="str">
        <x:v>Klints (automated)</x:v>
      </x:c>
      <x:c r="T100" s="16" t="str">
        <x:v>N/A — analytical.</x:v>
      </x:c>
      <x:c r="U100" s="23" t="str">
        <x:v>Initial</x:v>
      </x:c>
      <x:c r="V100" s="23" t="str">
        <x:v>N</x:v>
      </x:c>
      <x:c r="W100" s="23" t="str">
        <x:v>—</x:v>
      </x:c>
      <x:c r="X100" s="23" t="str">
        <x:v>P1</x:v>
      </x:c>
    </x:row>
    <x:row r="101" ht="54" hidden="0" customHeight="1">
      <x:c r="A101" s="19" t="str">
        <x:v>ME-09</x:v>
      </x:c>
      <x:c r="B101" s="8" t="str">
        <x:v>06 Measurement</x:v>
      </x:c>
      <x:c r="C101" s="8" t="str">
        <x:v>Email deliverability posture snapshot</x:v>
      </x:c>
      <x:c r="D101" s="8" t="str">
        <x:v>Send infrastructure</x:v>
      </x:c>
      <x:c r="E101" s="8" t="str">
        <x:v>Manago</x:v>
      </x:c>
      <x:c r="F101" s="8" t="str">
        <x:v>Statistical anomaly</x:v>
      </x:c>
      <x:c r="G101" s="8" t="str">
        <x:v>Bounce/complaint rates by cohort, domain reputation signals as visible in platform stats; correlate with CI-06/CI-13 cohorts (imports, stale bases).</x:v>
      </x:c>
      <x:c r="H101" s="8" t="str">
        <x:v>send stats, bounce categories</x:v>
      </x:c>
      <x:c r="I101" s="8" t="str">
        <x:v>—</x:v>
      </x:c>
      <x:c r="J101" s="8" t="str">
        <x:v>—</x:v>
      </x:c>
      <x:c r="K101" s="8" t="str">
        <x:v>Deliverability already damaged before Klints proposes new sends</x:v>
      </x:c>
      <x:c r="L101" s="8" t="str">
        <x:v>RC-08, RC-15</x:v>
      </x:c>
      <x:c r="M101" s="8" t="str">
        <x:v>Launching new lifecycle volume on a burned domain amplifies the damage; deliverability is a precondition, not a channel detail.</x:v>
      </x:c>
      <x:c r="N101" s="8" t="str">
        <x:v>All email workflows</x:v>
      </x:c>
      <x:c r="O101" s="25" t="str">
        <x:v>Medium</x:v>
      </x:c>
      <x:c r="P101" s="21" t="str">
        <x:v>Medium</x:v>
      </x:c>
      <x:c r="Q101" s="8" t="str">
        <x:v>Posture report; if damaged: warm-up and hygiene plan precedes any new-volume blueprint; sunset segment for chronic non-engagers.</x:v>
      </x:c>
      <x:c r="R101" s="8" t="str">
        <x:v>Manual (guided)</x:v>
      </x:c>
      <x:c r="S101" s="8" t="str">
        <x:v>Data lead</x:v>
      </x:c>
      <x:c r="T101" s="8" t="str">
        <x:v>N/A — strategy.</x:v>
      </x:c>
      <x:c r="U101" s="21" t="str">
        <x:v>Initial</x:v>
      </x:c>
      <x:c r="V101" s="21" t="str">
        <x:v>N</x:v>
      </x:c>
      <x:c r="W101" s="21" t="str">
        <x:v>—</x:v>
      </x:c>
      <x:c r="X101" s="21" t="str">
        <x:v>P1</x:v>
      </x:c>
    </x:row>
    <x:row r="102" ht="54" hidden="0" customHeight="1">
      <x:c r="A102" s="22" t="str">
        <x:v>ME-10</x:v>
      </x:c>
      <x:c r="B102" s="16" t="str">
        <x:v>06 Measurement</x:v>
      </x:c>
      <x:c r="C102" s="16" t="str">
        <x:v>Test and internal traffic contamination</x:v>
      </x:c>
      <x:c r="D102" s="16" t="str">
        <x:v>Order / Event / Visit</x:v>
      </x:c>
      <x:c r="E102" s="16" t="str">
        <x:v>Manago vs Shopify</x:v>
      </x:c>
      <x:c r="F102" s="16" t="str">
        <x:v>Schema / format</x:v>
      </x:c>
      <x:c r="G102" s="16" t="str">
        <x:v>Test orders (Shopify test flag, staff emails, internal IPs, obvious QA patterns) present in event stream and analytics; contamination rate.</x:v>
      </x:c>
      <x:c r="H102" s="16" t="str">
        <x:v>events matching test heuristics</x:v>
      </x:c>
      <x:c r="I102" s="16" t="str">
        <x:v>orders.test, staff account emails</x:v>
      </x:c>
      <x:c r="J102" s="16" t="str">
        <x:v>—</x:v>
      </x:c>
      <x:c r="K102" s="16" t="str">
        <x:v>QA and staff activity counted as customer behaviour</x:v>
      </x:c>
      <x:c r="L102" s="16" t="str">
        <x:v>RC-08, RC-12</x:v>
      </x:c>
      <x:c r="M102" s="16" t="str">
        <x:v>Small in volume but concentrated in exactly the recent windows used for trend reads; also triggers real automations at staff inboxes.</x:v>
      </x:c>
      <x:c r="N102" s="16" t="str">
        <x:v>Analytics trust, trigger hygiene</x:v>
      </x:c>
      <x:c r="O102" s="26" t="str">
        <x:v>Low</x:v>
      </x:c>
      <x:c r="P102" s="23" t="str">
        <x:v>Low</x:v>
      </x:c>
      <x:c r="Q102" s="16" t="str">
        <x:v>Exclusion ruleset (test flag, domain list, IP list) in canonical layer + suppression tag in Manago; integration filters at source going forward.</x:v>
      </x:c>
      <x:c r="R102" s="16" t="str">
        <x:v>Automated writeback (approved)</x:v>
      </x:c>
      <x:c r="S102" s="16" t="str">
        <x:v>Klints (automated)</x:v>
      </x:c>
      <x:c r="T102" s="16" t="str">
        <x:v>Suppression tags removable.</x:v>
      </x:c>
      <x:c r="U102" s="23" t="str">
        <x:v>Initial + Recurring</x:v>
      </x:c>
      <x:c r="V102" s="23" t="str">
        <x:v>N</x:v>
      </x:c>
      <x:c r="W102" s="23" t="str">
        <x:v>—</x:v>
      </x:c>
      <x:c r="X102" s="23" t="str">
        <x:v>P2</x:v>
      </x:c>
    </x:row>
    <x:row r="103" ht="15.75" hidden="0" customHeight="1">
      <x:c r="A103" s="5" t="str">
        <x:v>07 Business Reality</x:v>
      </x:c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</x:row>
    <x:row r="104" ht="54" hidden="0" customHeight="1">
      <x:c r="A104" s="22" t="str">
        <x:v>BR-01</x:v>
      </x:c>
      <x:c r="B104" s="16" t="str">
        <x:v>07 Business Reality</x:v>
      </x:c>
      <x:c r="C104" s="16" t="str">
        <x:v>Margin data coverage per product</x:v>
      </x:c>
      <x:c r="D104" s="16" t="str">
        <x:v>Product margin</x:v>
      </x:c>
      <x:c r="E104" s="16" t="str">
        <x:v>ERP vs Manago</x:v>
      </x:c>
      <x:c r="F104" s="16" t="str">
        <x:v>Presence</x:v>
      </x:c>
      <x:c r="G104" s="16" t="str">
        <x:v>Share of active products with margin populated in the Manago catalog (v3 product/upsert margin field) and traceable to ERP cost data; margin-unknown share of revenue.</x:v>
      </x:c>
      <x:c r="H104" s="16" t="str">
        <x:v>catalog margin field</x:v>
      </x:c>
      <x:c r="I104" s="16" t="str">
        <x:v>products (no native margin)</x:v>
      </x:c>
      <x:c r="J104" s="16" t="str">
        <x:v>ERP cost / margin per item</x:v>
      </x:c>
      <x:c r="K104" s="16" t="str">
        <x:v>Margin unknown for a material share of assortment</x:v>
      </x:c>
      <x:c r="L104" s="16" t="str">
        <x:v>RC-01, RC-02</x:v>
      </x:c>
      <x:c r="M104" s="16" t="str">
        <x:v>Margin-safe workflows (the ERP-aware differentiator) can only govern the products whose margin they know; coverage gap = governance gap.</x:v>
      </x:c>
      <x:c r="N104" s="16" t="str">
        <x:v>Margin-safe VIP, discount governance, upsell selection</x:v>
      </x:c>
      <x:c r="O104" s="24" t="str">
        <x:v>High</x:v>
      </x:c>
      <x:c r="P104" s="23" t="str">
        <x:v>High</x:v>
      </x:c>
      <x:c r="Q104" s="16" t="str">
        <x:v>Margin feed ERP→Klints→catalog upsert (approved); products without cost data flagged margin-unknown and excluded from margin-conditioned logic by rule, not by accident.</x:v>
      </x:c>
      <x:c r="R104" s="16" t="str">
        <x:v>Automated writeback (approved)</x:v>
      </x:c>
      <x:c r="S104" s="16" t="str">
        <x:v>Data lead</x:v>
      </x:c>
      <x:c r="T104" s="16" t="str">
        <x:v>Margin field updatable; exclusion flags reversible.</x:v>
      </x:c>
      <x:c r="U104" s="23" t="str">
        <x:v>Initial + Recurring</x:v>
      </x:c>
      <x:c r="V104" s="23" t="str">
        <x:v>Y</x:v>
      </x:c>
      <x:c r="W104" s="27" t="str">
        <x:v>T10 ERP attribute feed</x:v>
      </x:c>
      <x:c r="X104" s="23" t="str">
        <x:v>P0</x:v>
      </x:c>
    </x:row>
    <x:row r="105" ht="54" hidden="0" customHeight="1">
      <x:c r="A105" s="19" t="str">
        <x:v>BR-02</x:v>
      </x:c>
      <x:c r="B105" s="8" t="str">
        <x:v>07 Business Reality</x:v>
      </x:c>
      <x:c r="C105" s="8" t="str">
        <x:v>Inventory freshness SLA</x:v>
      </x:c>
      <x:c r="D105" s="8" t="str">
        <x:v>Inventory</x:v>
      </x:c>
      <x:c r="E105" s="8" t="str">
        <x:v>ERP vs Shopify vs Manago</x:v>
      </x:c>
      <x:c r="F105" s="8" t="str">
        <x:v>Freshness</x:v>
      </x:c>
      <x:c r="G105" s="8" t="str">
        <x:v>Timestamp lag of quantity data along the chain ERP→Shopify→Manago catalog; share of products whose marketing-visible stock is older than the agreed SLA (e.g. 24h).</x:v>
      </x:c>
      <x:c r="H105" s="8" t="str">
        <x:v>catalog quantity + update times</x:v>
      </x:c>
      <x:c r="I105" s="8" t="str">
        <x:v>inventory_levels.updated_at</x:v>
      </x:c>
      <x:c r="J105" s="8" t="str">
        <x:v>ERP stock snapshot time</x:v>
      </x:c>
      <x:c r="K105" s="8" t="str">
        <x:v>Marketing decisions ride on stale stock</x:v>
      </x:c>
      <x:c r="L105" s="8" t="str">
        <x:v>RC-05</x:v>
      </x:c>
      <x:c r="M105" s="8" t="str">
        <x:v>A replenishment email for an item that sold out yesterday converts intent into frustration; freshness is the difference between ERP-aware and ERP-flavoured.</x:v>
      </x:c>
      <x:c r="N105" s="8" t="str">
        <x:v>Replenishment, back-in-stock, recommendations</x:v>
      </x:c>
      <x:c r="O105" s="24" t="str">
        <x:v>High</x:v>
      </x:c>
      <x:c r="P105" s="21" t="str">
        <x:v>High</x:v>
      </x:c>
      <x:c r="Q105" s="8" t="str">
        <x:v>Sync cadence contract per chain link; updateQuantity wired to inventory webhooks or scheduled ERP delta; lag monitored as recurring drift check.</x:v>
      </x:c>
      <x:c r="R105" s="8" t="str">
        <x:v>Integration build</x:v>
      </x:c>
      <x:c r="S105" s="8" t="str">
        <x:v>External integrator</x:v>
      </x:c>
      <x:c r="T105" s="8" t="str">
        <x:v>Forward-only sync.</x:v>
      </x:c>
      <x:c r="U105" s="21" t="str">
        <x:v>Initial + Recurring</x:v>
      </x:c>
      <x:c r="V105" s="21" t="str">
        <x:v>Y</x:v>
      </x:c>
      <x:c r="W105" s="28" t="str">
        <x:v>T11 Availability gating</x:v>
      </x:c>
      <x:c r="X105" s="21" t="str">
        <x:v>P0</x:v>
      </x:c>
    </x:row>
    <x:row r="106" ht="54" hidden="0" customHeight="1">
      <x:c r="A106" s="22" t="str">
        <x:v>BR-03</x:v>
      </x:c>
      <x:c r="B106" s="16" t="str">
        <x:v>07 Business Reality</x:v>
      </x:c>
      <x:c r="C106" s="16" t="str">
        <x:v>Out-of-stock exposure in active surfaces</x:v>
      </x:c>
      <x:c r="D106" s="16" t="str">
        <x:v>Product / Campaign</x:v>
      </x:c>
      <x:c r="E106" s="16" t="str">
        <x:v>Manago</x:v>
      </x:c>
      <x:c r="F106" s="16" t="str">
        <x:v>Cross-field consistency</x:v>
      </x:c>
      <x:c r="G106" s="16" t="str">
        <x:v>Products with zero/negative available stock currently present in recommendation frames, product collections, or scheduled campaign content.</x:v>
      </x:c>
      <x:c r="H106" s="16" t="str">
        <x:v>collections, recommendation config, catalog quantity</x:v>
      </x:c>
      <x:c r="I106" s="16" t="str">
        <x:v>inventory_levels</x:v>
      </x:c>
      <x:c r="J106" s="16" t="str">
        <x:v>ERP stock</x:v>
      </x:c>
      <x:c r="K106" s="16" t="str">
        <x:v>Sold-out items actively promoted</x:v>
      </x:c>
      <x:c r="L106" s="16" t="str">
        <x:v>RC-05, RC-10</x:v>
      </x:c>
      <x:c r="M106" s="16" t="str">
        <x:v>Every OOS promotion click is a dead end; at campaign scale this is measurable conversion loss plus support load ('when will it be back?').</x:v>
      </x:c>
      <x:c r="N106" s="16" t="str">
        <x:v>Recommendations, campaigns, collections</x:v>
      </x:c>
      <x:c r="O106" s="24" t="str">
        <x:v>High</x:v>
      </x:c>
      <x:c r="P106" s="23" t="str">
        <x:v>High</x:v>
      </x:c>
      <x:c r="Q106" s="16" t="str">
        <x:v>Availability gate rule: OOS items auto-excluded from active surfaces (flag-based via product/upsert availability flags); pre-flight check on campaign content as Klints QA rule.</x:v>
      </x:c>
      <x:c r="R106" s="16" t="str">
        <x:v>Automated writeback (approved)</x:v>
      </x:c>
      <x:c r="S106" s="16" t="str">
        <x:v>Klints (automated)</x:v>
      </x:c>
      <x:c r="T106" s="16" t="str">
        <x:v>Availability flags reversible on restock.</x:v>
      </x:c>
      <x:c r="U106" s="23" t="str">
        <x:v>Initial + Recurring</x:v>
      </x:c>
      <x:c r="V106" s="23" t="str">
        <x:v>Y</x:v>
      </x:c>
      <x:c r="W106" s="27" t="str">
        <x:v>T11 Availability gating</x:v>
      </x:c>
      <x:c r="X106" s="23" t="str">
        <x:v>P0</x:v>
      </x:c>
    </x:row>
    <x:row r="107" ht="54" hidden="0" customHeight="1">
      <x:c r="A107" s="19" t="str">
        <x:v>BR-04</x:v>
      </x:c>
      <x:c r="B107" s="8" t="str">
        <x:v>07 Business Reality</x:v>
      </x:c>
      <x:c r="C107" s="8" t="str">
        <x:v>Discontinued / blocked item status parity</x:v>
      </x:c>
      <x:c r="D107" s="8" t="str">
        <x:v>Product status</x:v>
      </x:c>
      <x:c r="E107" s="8" t="str">
        <x:v>ERP vs Shopify vs Manago</x:v>
      </x:c>
      <x:c r="F107" s="8" t="str">
        <x:v>Cross-system reconciliation</x:v>
      </x:c>
      <x:c r="G107" s="8" t="str">
        <x:v>ERP item status (discontinued, blocked-for-sale, quality-hold) vs Shopify product status vs Manago availability flags; three-way status matrix.</x:v>
      </x:c>
      <x:c r="H107" s="8" t="str">
        <x:v>catalog availability flags</x:v>
      </x:c>
      <x:c r="I107" s="8" t="str">
        <x:v>products.status</x:v>
      </x:c>
      <x:c r="J107" s="8" t="str">
        <x:v>ERP item lifecycle status</x:v>
      </x:c>
      <x:c r="K107" s="8" t="str">
        <x:v>ERP says dead, marketing says buy</x:v>
      </x:c>
      <x:c r="L107" s="8" t="str">
        <x:v>RC-01, RC-05</x:v>
      </x:c>
      <x:c r="M107" s="8" t="str">
        <x:v>Selling discontinued or blocked items creates unfulfillable orders — the costliest possible data inconsistency because it manufactures refunds and complaints.</x:v>
      </x:c>
      <x:c r="N107" s="8" t="str">
        <x:v>All product-promoting flows</x:v>
      </x:c>
      <x:c r="O107" s="20" t="str">
        <x:v>Critical</x:v>
      </x:c>
      <x:c r="P107" s="21" t="str">
        <x:v>High</x:v>
      </x:c>
      <x:c r="Q107" s="8" t="str">
        <x:v>Status precedence: ERP status wins; propagation chain wired with alerts on divergence; one-time reconciliation sweep with per-item action list.</x:v>
      </x:c>
      <x:c r="R107" s="8" t="str">
        <x:v>Integration build + Automated writeback (approved)</x:v>
      </x:c>
      <x:c r="S107" s="8" t="str">
        <x:v>Data lead</x:v>
      </x:c>
      <x:c r="T107" s="8" t="str">
        <x:v>Flag changes reversible; unfulfillable-order prevention is the point.</x:v>
      </x:c>
      <x:c r="U107" s="21" t="str">
        <x:v>Initial + Recurring</x:v>
      </x:c>
      <x:c r="V107" s="21" t="str">
        <x:v>Y</x:v>
      </x:c>
      <x:c r="W107" s="28" t="str">
        <x:v>T10 ERP attribute feed</x:v>
      </x:c>
      <x:c r="X107" s="21" t="str">
        <x:v>P0</x:v>
      </x:c>
    </x:row>
    <x:row r="108" ht="54" hidden="0" customHeight="1">
      <x:c r="A108" s="22" t="str">
        <x:v>BR-05</x:v>
      </x:c>
      <x:c r="B108" s="16" t="str">
        <x:v>07 Business Reality</x:v>
      </x:c>
      <x:c r="C108" s="16" t="str">
        <x:v>Customer commercial status visibility</x:v>
      </x:c>
      <x:c r="D108" s="16" t="str">
        <x:v>Customer status</x:v>
      </x:c>
      <x:c r="E108" s="16" t="str">
        <x:v>ERP vs Manago</x:v>
      </x:c>
      <x:c r="F108" s="16" t="str">
        <x:v>Presence</x:v>
      </x:c>
      <x:c r="G108" s="16" t="str">
        <x:v>ERP-side customer flags relevant to marketing (credit block, chronic returner, B2B terms, blacklist) mapped into Manago as governed details/tags; coverage vs ERP truth.</x:v>
      </x:c>
      <x:c r="H108" s="16" t="str">
        <x:v>klints_ commercial-status details</x:v>
      </x:c>
      <x:c r="I108" s="16" t="str">
        <x:v>customers (no native equivalent)</x:v>
      </x:c>
      <x:c r="J108" s="16" t="str">
        <x:v>ERP customer master flags</x:v>
      </x:c>
      <x:c r="K108" s="16" t="str">
        <x:v>Marketing blind to commercially sensitive customer states</x:v>
      </x:c>
      <x:c r="L108" s="16" t="str">
        <x:v>RC-01, RC-02</x:v>
      </x:c>
      <x:c r="M108" s="16" t="str">
        <x:v>Offering a VIP discount to a credit-blocked account, or winning back a customer the business fired, is worse than no marketing; ERP truth must gate lifecycle logic.</x:v>
      </x:c>
      <x:c r="N108" s="16" t="str">
        <x:v>VIP, winback, discount governance</x:v>
      </x:c>
      <x:c r="O108" s="24" t="str">
        <x:v>High</x:v>
      </x:c>
      <x:c r="P108" s="23" t="str">
        <x:v>High</x:v>
      </x:c>
      <x:c r="Q108" s="16" t="str">
        <x:v>Mapped status feed ERP→klints_ details (approved batch + recurring delta); workflows conditioned on these guards; sensitive semantics documented per flag.</x:v>
      </x:c>
      <x:c r="R108" s="16" t="str">
        <x:v>Automated writeback (approved)</x:v>
      </x:c>
      <x:c r="S108" s="16" t="str">
        <x:v>Data lead</x:v>
      </x:c>
      <x:c r="T108" s="16" t="str">
        <x:v>klints_ details removable in bulk.</x:v>
      </x:c>
      <x:c r="U108" s="23" t="str">
        <x:v>Initial + Recurring</x:v>
      </x:c>
      <x:c r="V108" s="23" t="str">
        <x:v>Y</x:v>
      </x:c>
      <x:c r="W108" s="27" t="str">
        <x:v>T10 ERP attribute feed</x:v>
      </x:c>
      <x:c r="X108" s="23" t="str">
        <x:v>P1</x:v>
      </x:c>
    </x:row>
    <x:row r="109" ht="54" hidden="0" customHeight="1">
      <x:c r="A109" s="19" t="str">
        <x:v>BR-06</x:v>
      </x:c>
      <x:c r="B109" s="8" t="str">
        <x:v>07 Business Reality</x:v>
      </x:c>
      <x:c r="C109" s="8" t="str">
        <x:v>Fulfilment status parity for post-purchase logic</x:v>
      </x:c>
      <x:c r="D109" s="8" t="str">
        <x:v>Order fulfilment</x:v>
      </x:c>
      <x:c r="E109" s="8" t="str">
        <x:v>ERP vs Shopify</x:v>
      </x:c>
      <x:c r="F109" s="8" t="str">
        <x:v>Cross-system reconciliation</x:v>
      </x:c>
      <x:c r="G109" s="8" t="str">
        <x:v>Fulfilment/shipping status agreement on recent orders (ERP dispatch vs Shopify fulfillment); lag distribution; stuck-in-processing outliers.</x:v>
      </x:c>
      <x:c r="H109" s="8" t="str">
        <x:v>— (informs event semantics for post-purchase flows)</x:v>
      </x:c>
      <x:c r="I109" s="8" t="str">
        <x:v>orders.fulfillment_status, fulfillments</x:v>
      </x:c>
      <x:c r="J109" s="8" t="str">
        <x:v>ERP dispatch/delivery status</x:v>
      </x:c>
      <x:c r="K109" s="8" t="str">
        <x:v>Post-purchase communications keyed to wrong fulfilment truth</x:v>
      </x:c>
      <x:c r="L109" s="8" t="str">
        <x:v>RC-05, RC-01</x:v>
      </x:c>
      <x:c r="M109" s="8" t="str">
        <x:v>'Your order is on its way' before it ships (or long after delivery) trains customers to ignore transactional-adjacent messaging — the highest-open channel there is.</x:v>
      </x:c>
      <x:c r="N109" s="8" t="str">
        <x:v>Post-purchase journey, review requests, replenishment start-clock</x:v>
      </x:c>
      <x:c r="O109" s="25" t="str">
        <x:v>Medium</x:v>
      </x:c>
      <x:c r="P109" s="21" t="str">
        <x:v>Medium</x:v>
      </x:c>
      <x:c r="Q109" s="8" t="str">
        <x:v>Choose authoritative fulfilment source per tenant; lag SLA; replenishment clocks start from delivered-truth not order-date where available.</x:v>
      </x:c>
      <x:c r="R109" s="8" t="str">
        <x:v>Configuration</x:v>
      </x:c>
      <x:c r="S109" s="8" t="str">
        <x:v>Data lead</x:v>
      </x:c>
      <x:c r="T109" s="8" t="str">
        <x:v>Canonical precedence rule; reversible.</x:v>
      </x:c>
      <x:c r="U109" s="21" t="str">
        <x:v>Initial + Recurring</x:v>
      </x:c>
      <x:c r="V109" s="21" t="str">
        <x:v>N</x:v>
      </x:c>
      <x:c r="W109" s="21" t="str">
        <x:v>—</x:v>
      </x:c>
      <x:c r="X109" s="21" t="str">
        <x:v>P1</x:v>
      </x:c>
    </x:row>
    <x:row r="110" ht="54" hidden="0" customHeight="1">
      <x:c r="A110" s="22" t="str">
        <x:v>BR-07</x:v>
      </x:c>
      <x:c r="B110" s="16" t="str">
        <x:v>07 Business Reality</x:v>
      </x:c>
      <x:c r="C110" s="16" t="str">
        <x:v>Returns three-way reconciliation</x:v>
      </x:c>
      <x:c r="D110" s="16" t="str">
        <x:v>Refund / Credit note</x:v>
      </x:c>
      <x:c r="E110" s="16" t="str">
        <x:v>ERP vs Shopify vs Manago</x:v>
      </x:c>
      <x:c r="F110" s="16" t="str">
        <x:v>Cross-system reconciliation</x:v>
      </x:c>
      <x:c r="G110" s="16" t="str">
        <x:v>ERP credit notes vs Shopify refunds vs Manago RETURN events (post LE-09) — the full loop; unmatched items in any direction listed.</x:v>
      </x:c>
      <x:c r="H110" s="16" t="str">
        <x:v>RETURN events</x:v>
      </x:c>
      <x:c r="I110" s="16" t="str">
        <x:v>refunds</x:v>
      </x:c>
      <x:c r="J110" s="16" t="str">
        <x:v>ERP credit notes</x:v>
      </x:c>
      <x:c r="K110" s="16" t="str">
        <x:v>Return truth differs by system even after the marketing pipe exists</x:v>
      </x:c>
      <x:c r="L110" s="16" t="str">
        <x:v>RC-01, RC-05</x:v>
      </x:c>
      <x:c r="M110" s="16" t="str">
        <x:v>Finance-grade net revenue lives in ERP; if Shopify refunds diverge from credit notes, even a perfect LE-09 pipe propagates commerce-side error into marketing truth.</x:v>
      </x:c>
      <x:c r="N110" s="16" t="str">
        <x:v>Net-LTV logic, margin analytics, serial-returner detection</x:v>
      </x:c>
      <x:c r="O110" s="25" t="str">
        <x:v>Medium</x:v>
      </x:c>
      <x:c r="P110" s="23" t="str">
        <x:v>Medium</x:v>
      </x:c>
      <x:c r="Q110" s="16" t="str">
        <x:v>Reconciliation report with unmatched lists per direction; commerce-vs-ERP divergences routed to merchant ops; Manago-side gaps routed to LE-09 machinery.</x:v>
      </x:c>
      <x:c r="R110" s="16" t="str">
        <x:v>Manual (guided)</x:v>
      </x:c>
      <x:c r="S110" s="16" t="str">
        <x:v>Merchant ops</x:v>
      </x:c>
      <x:c r="T110" s="16" t="str">
        <x:v>N/A — routing check.</x:v>
      </x:c>
      <x:c r="U110" s="23" t="str">
        <x:v>Initial + Recurring</x:v>
      </x:c>
      <x:c r="V110" s="23" t="str">
        <x:v>N</x:v>
      </x:c>
      <x:c r="W110" s="23" t="str">
        <x:v>—</x:v>
      </x:c>
      <x:c r="X110" s="23" t="str">
        <x:v>P1</x:v>
      </x:c>
    </x:row>
    <x:row r="111" ht="54" hidden="0" customHeight="1">
      <x:c r="A111" s="19" t="str">
        <x:v>BR-08</x:v>
      </x:c>
      <x:c r="B111" s="8" t="str">
        <x:v>07 Business Reality</x:v>
      </x:c>
      <x:c r="C111" s="8" t="str">
        <x:v>Price list authority parity</x:v>
      </x:c>
      <x:c r="D111" s="8" t="str">
        <x:v>Price</x:v>
      </x:c>
      <x:c r="E111" s="8" t="str">
        <x:v>ERP vs Shopify</x:v>
      </x:c>
      <x:c r="F111" s="8" t="str">
        <x:v>Cross-system reconciliation</x:v>
      </x:c>
      <x:c r="G111" s="8" t="str">
        <x:v>ERP price list vs Shopify live prices (base and promotional) for the active assortment; unauthorised-discount detection where ERP is pricing authority.</x:v>
      </x:c>
      <x:c r="H111" s="8" t="str">
        <x:v>— (catalog price parity handled in PT-05)</x:v>
      </x:c>
      <x:c r="I111" s="8" t="str">
        <x:v>variants.price / compare_at_price</x:v>
      </x:c>
      <x:c r="J111" s="8" t="str">
        <x:v>ERP price list / promo calendar</x:v>
      </x:c>
      <x:c r="K111" s="8" t="str">
        <x:v>Commerce selling at prices ERP doesn't recognise</x:v>
      </x:c>
      <x:c r="L111" s="8" t="str">
        <x:v>RC-05, RC-08</x:v>
      </x:c>
      <x:c r="M111" s="8" t="str">
        <x:v>Margin calculations (BR-01) assume ERP prices; if the shop sells below list without ERP knowing, margin-safe logic is confidently wrong — worse than absent.</x:v>
      </x:c>
      <x:c r="N111" s="8" t="str">
        <x:v>Margin-safe flows, promo governance</x:v>
      </x:c>
      <x:c r="O111" s="25" t="str">
        <x:v>Medium</x:v>
      </x:c>
      <x:c r="P111" s="21" t="str">
        <x:v>Medium</x:v>
      </x:c>
      <x:c r="Q111" s="8" t="str">
        <x:v>Divergence report to merchant ops; where promo calendar exists in ERP, wire it as the reference for expected divergences; unexplained gaps escalated.</x:v>
      </x:c>
      <x:c r="R111" s="8" t="str">
        <x:v>Manual (guided)</x:v>
      </x:c>
      <x:c r="S111" s="8" t="str">
        <x:v>Merchant ops</x:v>
      </x:c>
      <x:c r="T111" s="8" t="str">
        <x:v>N/A — external-system truth.</x:v>
      </x:c>
      <x:c r="U111" s="21" t="str">
        <x:v>Initial + Recurring</x:v>
      </x:c>
      <x:c r="V111" s="21" t="str">
        <x:v>N</x:v>
      </x:c>
      <x:c r="W111" s="21" t="str">
        <x:v>—</x:v>
      </x:c>
      <x:c r="X111" s="21" t="str">
        <x:v>P1</x:v>
      </x:c>
    </x:row>
    <x:row r="112" ht="54" hidden="0" customHeight="1">
      <x:c r="A112" s="22" t="str">
        <x:v>BR-09</x:v>
      </x:c>
      <x:c r="B112" s="16" t="str">
        <x:v>07 Business Reality</x:v>
      </x:c>
      <x:c r="C112" s="16" t="str">
        <x:v>Replenishment input completeness</x:v>
      </x:c>
      <x:c r="D112" s="16" t="str">
        <x:v>Product consumption data</x:v>
      </x:c>
      <x:c r="E112" s="16" t="str">
        <x:v>ERP vs Manago</x:v>
      </x:c>
      <x:c r="F112" s="16" t="str">
        <x:v>Presence</x:v>
      </x:c>
      <x:c r="G112" s="16" t="str">
        <x:v>For replenishment-eligible categories: product usage-cycle data (pack size, expected consumption days) present as catalog/detail inputs; coverage of the replenishment-candidate assortment.</x:v>
      </x:c>
      <x:c r="H112" s="16" t="str">
        <x:v>catalog details / klints_ consumption fields</x:v>
      </x:c>
      <x:c r="I112" s="16" t="str">
        <x:v>products (pack size in variants/options)</x:v>
      </x:c>
      <x:c r="J112" s="16" t="str">
        <x:v>ERP item master (pack, unit)</x:v>
      </x:c>
      <x:c r="K112" s="16" t="str">
        <x:v>Replenishment logic lacks its core timing input</x:v>
      </x:c>
      <x:c r="L112" s="16" t="str">
        <x:v>RC-01, RC-02</x:v>
      </x:c>
      <x:c r="M112" s="16" t="str">
        <x:v>Without consumption-cycle data, replenishment reminders guess; guessed timing performs at a fraction of informed timing and erodes trust in the flow.</x:v>
      </x:c>
      <x:c r="N112" s="16" t="str">
        <x:v>Replenishment reminder</x:v>
      </x:c>
      <x:c r="O112" s="25" t="str">
        <x:v>Medium</x:v>
      </x:c>
      <x:c r="P112" s="23" t="str">
        <x:v>Medium</x:v>
      </x:c>
      <x:c r="Q112" s="16" t="str">
        <x:v>Consumption model per category (from pack size + repurchase-interval statistics Klints can compute); write governed klints_ fields; category coverage report.</x:v>
      </x:c>
      <x:c r="R112" s="16" t="str">
        <x:v>Automated writeback (approved)</x:v>
      </x:c>
      <x:c r="S112" s="16" t="str">
        <x:v>Klints (automated)</x:v>
      </x:c>
      <x:c r="T112" s="16" t="str">
        <x:v>klints_ fields removable.</x:v>
      </x:c>
      <x:c r="U112" s="23" t="str">
        <x:v>Initial</x:v>
      </x:c>
      <x:c r="V112" s="23" t="str">
        <x:v>Y</x:v>
      </x:c>
      <x:c r="W112" s="27" t="str">
        <x:v>T10 ERP attribute feed</x:v>
      </x:c>
      <x:c r="X112" s="23" t="str">
        <x:v>P1</x:v>
      </x:c>
    </x:row>
    <x:row r="113" ht="54" hidden="0" customHeight="1">
      <x:c r="A113" s="19" t="str">
        <x:v>BR-10</x:v>
      </x:c>
      <x:c r="B113" s="8" t="str">
        <x:v>07 Business Reality</x:v>
      </x:c>
      <x:c r="C113" s="8" t="str">
        <x:v>Multi-warehouse availability aggregation</x:v>
      </x:c>
      <x:c r="D113" s="8" t="str">
        <x:v>Inventory</x:v>
      </x:c>
      <x:c r="E113" s="8" t="str">
        <x:v>ERP vs Shopify</x:v>
      </x:c>
      <x:c r="F113" s="8" t="str">
        <x:v>Schema / format</x:v>
      </x:c>
      <x:c r="G113" s="8" t="str">
        <x:v>Where multiple warehouses/locations exist: aggregation rule producing the marketing-visible quantity verified (which locations count as sellable; transit stock; reserved stock).</x:v>
      </x:c>
      <x:c r="H113" s="8" t="str">
        <x:v>catalog quantity (single number)</x:v>
      </x:c>
      <x:c r="I113" s="8" t="str">
        <x:v>inventory_levels per location</x:v>
      </x:c>
      <x:c r="J113" s="8" t="str">
        <x:v>ERP per-warehouse stock</x:v>
      </x:c>
      <x:c r="K113" s="8" t="str">
        <x:v>Sellable quantity mis-derived from multi-location truth</x:v>
      </x:c>
      <x:c r="L113" s="8" t="str">
        <x:v>RC-11, RC-02</x:v>
      </x:c>
      <x:c r="M113" s="8" t="str">
        <x:v>Counting a quarantine warehouse as sellable re-creates BR-03 with extra steps; excluding a live one suppresses sellable demand.</x:v>
      </x:c>
      <x:c r="N113" s="8" t="str">
        <x:v>Availability gating, back-in-stock</x:v>
      </x:c>
      <x:c r="O113" s="25" t="str">
        <x:v>Medium</x:v>
      </x:c>
      <x:c r="P113" s="21" t="str">
        <x:v>Medium</x:v>
      </x:c>
      <x:c r="Q113" s="8" t="str">
        <x:v>Explicit sellable-locations rule per tenant in mapping config; aggregation recomputed and compared against current feed; fix the derivation.</x:v>
      </x:c>
      <x:c r="R113" s="8" t="str">
        <x:v>Configuration</x:v>
      </x:c>
      <x:c r="S113" s="8" t="str">
        <x:v>Data lead</x:v>
      </x:c>
      <x:c r="T113" s="8" t="str">
        <x:v>Config rule; reversible.</x:v>
      </x:c>
      <x:c r="U113" s="21" t="str">
        <x:v>Initial</x:v>
      </x:c>
      <x:c r="V113" s="21" t="str">
        <x:v>N</x:v>
      </x:c>
      <x:c r="W113" s="21" t="str">
        <x:v>—</x:v>
      </x:c>
      <x:c r="X113" s="21" t="str">
        <x:v>P1</x:v>
      </x:c>
    </x:row>
    <x:row r="114" ht="54" hidden="0" customHeight="1">
      <x:c r="A114" s="22" t="str">
        <x:v>BR-11</x:v>
      </x:c>
      <x:c r="B114" s="16" t="str">
        <x:v>07 Business Reality</x:v>
      </x:c>
      <x:c r="C114" s="16" t="str">
        <x:v>Margin-safe rule computability</x:v>
      </x:c>
      <x:c r="D114" s="16" t="str">
        <x:v>Margin / Discount</x:v>
      </x:c>
      <x:c r="E114" s="16" t="str">
        <x:v>ERP vs Manago</x:v>
      </x:c>
      <x:c r="F114" s="16" t="str">
        <x:v>Cross-field consistency</x:v>
      </x:c>
      <x:c r="G114" s="16" t="str">
        <x:v>For discount-bearing workflows: margin (BR-01) + planned discount depth + shipping cost data jointly sufficient to compute post-discount contribution per product/segment.</x:v>
      </x:c>
      <x:c r="H114" s="16" t="str">
        <x:v>margin field + discount plans</x:v>
      </x:c>
      <x:c r="I114" s="16" t="str">
        <x:v>shipping rates (approx)</x:v>
      </x:c>
      <x:c r="J114" s="16" t="str">
        <x:v>ERP cost components</x:v>
      </x:c>
      <x:c r="K114" s="16" t="str">
        <x:v>Margin-safe gating claimed but not computable end-to-end</x:v>
      </x:c>
      <x:c r="L114" s="16" t="str">
        <x:v>RC-01, RC-02</x:v>
      </x:c>
      <x:c r="M114" s="16" t="str">
        <x:v>The flagship ERP-aware promise must be computable, not aspirational — Klints must know before proposing a 20% VIP offer whether it destroys contribution on the target basket.</x:v>
      </x:c>
      <x:c r="N114" s="16" t="str">
        <x:v>Margin-safe VIP, all discount flows</x:v>
      </x:c>
      <x:c r="O114" s="24" t="str">
        <x:v>High</x:v>
      </x:c>
      <x:c r="P114" s="23" t="str">
        <x:v>High</x:v>
      </x:c>
      <x:c r="Q114" s="16" t="str">
        <x:v>Computability audit per discount workflow candidate; missing components sourced (BR-01 feed, shipping table); workflows lacking computability shipped without discount depth claims.</x:v>
      </x:c>
      <x:c r="R114" s="16" t="str">
        <x:v>Configuration</x:v>
      </x:c>
      <x:c r="S114" s="16" t="str">
        <x:v>Klints (automated)</x:v>
      </x:c>
      <x:c r="T114" s="16" t="str">
        <x:v>N/A — analytical gate.</x:v>
      </x:c>
      <x:c r="U114" s="23" t="str">
        <x:v>Initial</x:v>
      </x:c>
      <x:c r="V114" s="23" t="str">
        <x:v>Y</x:v>
      </x:c>
      <x:c r="W114" s="27" t="str">
        <x:v>T10 ERP attribute feed</x:v>
      </x:c>
      <x:c r="X114" s="23" t="str">
        <x:v>P0</x:v>
      </x:c>
    </x:row>
    <x:row r="115" ht="42" hidden="0" customHeight="1">
      <x:c r="A115" s="19" t="str">
        <x:v>BR-12</x:v>
      </x:c>
      <x:c r="B115" s="8" t="str">
        <x:v>07 Business Reality</x:v>
      </x:c>
      <x:c r="C115" s="8" t="str">
        <x:v>ERP sync freshness heartbeat</x:v>
      </x:c>
      <x:c r="D115" s="8" t="str">
        <x:v>ERP feed</x:v>
      </x:c>
      <x:c r="E115" s="8" t="str">
        <x:v>ERP</x:v>
      </x:c>
      <x:c r="F115" s="8" t="str">
        <x:v>Freshness</x:v>
      </x:c>
      <x:c r="G115" s="8" t="str">
        <x:v>Last-successful-sync timestamp per ERP data domain (customers, items, stock, prices, credit notes) vs agreed cadence; silent-stall detection.</x:v>
      </x:c>
      <x:c r="H115" s="8" t="str">
        <x:v>— (feed metadata)</x:v>
      </x:c>
      <x:c r="I115" s="8" t="str">
        <x:v>—</x:v>
      </x:c>
      <x:c r="J115" s="8" t="str">
        <x:v>ERP export schedule</x:v>
      </x:c>
      <x:c r="K115" s="8" t="str">
        <x:v>ERP feed silently stops while everything downstream keeps 'working'</x:v>
      </x:c>
      <x:c r="L115" s="8" t="str">
        <x:v>RC-05, RC-15</x:v>
      </x:c>
      <x:c r="M115" s="8" t="str">
        <x:v>A stalled ERP feed degrades every BR check simultaneously and invisibly; the heartbeat converts silent decay into an alert.</x:v>
      </x:c>
      <x:c r="N115" s="8" t="str">
        <x:v>All BR-dependent workflows</x:v>
      </x:c>
      <x:c r="O115" s="25" t="str">
        <x:v>Medium</x:v>
      </x:c>
      <x:c r="P115" s="21" t="str">
        <x:v>Medium</x:v>
      </x:c>
      <x:c r="Q115" s="8" t="str">
        <x:v>Heartbeat monitor per domain with staleness alert into DCS drift surface; BR sub-score annotated with data-age when stale.</x:v>
      </x:c>
      <x:c r="R115" s="8" t="str">
        <x:v>Configuration</x:v>
      </x:c>
      <x:c r="S115" s="8" t="str">
        <x:v>Klints (automated)</x:v>
      </x:c>
      <x:c r="T115" s="8" t="str">
        <x:v>N/A — monitoring.</x:v>
      </x:c>
      <x:c r="U115" s="21" t="str">
        <x:v>Recurring</x:v>
      </x:c>
      <x:c r="V115" s="21" t="str">
        <x:v>N</x:v>
      </x:c>
      <x:c r="W115" s="21" t="str">
        <x:v>—</x:v>
      </x:c>
      <x:c r="X115" s="21" t="str">
        <x:v>P1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9" hidden="0" customWidth="1"/>
    <x:col min="2" max="2" width="26" hidden="0" customWidth="1"/>
    <x:col min="3" max="3" width="52" hidden="0" customWidth="1"/>
    <x:col min="4" max="4" width="42" hidden="0" customWidth="1"/>
    <x:col min="5" max="5" width="46" hidden="0" customWidth="1"/>
  </x:cols>
  <x:sheetData>
    <x:row r="1" ht="21.75" hidden="0" customHeight="1">
      <x:c r="A1" s="1" t="str">
        <x:v>Root Cause Taxonomy</x:v>
      </x:c>
      <x:c r="B1"/>
      <x:c r="C1"/>
      <x:c r="D1"/>
      <x:c r="E1"/>
    </x:row>
    <x:row r="2" ht="15.75" hidden="0" customHeight="1">
      <x:c r="A2" s="2" t="str">
        <x:v>Closed classifier — agents classify findings against this list; extensions are versioned, not improvised</x:v>
      </x:c>
      <x:c r="B2"/>
      <x:c r="C2"/>
      <x:c r="D2"/>
      <x:c r="E2"/>
    </x:row>
    <x:row r="3" ht="13.5" hidden="0" customHeight="1">
      <x:c r="A3" s="3" t="str">
        <x:v>Every catalogue row's Root Causes column references these codes. A finding may carry multiple codes.</x:v>
      </x:c>
      <x:c r="B3"/>
      <x:c r="C3"/>
      <x:c r="D3"/>
      <x:c r="E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</x:row>
    <x:row r="5" ht="30" hidden="0" customHeight="1">
      <x:c r="A5" s="9" t="str">
        <x:v>Code</x:v>
      </x:c>
      <x:c r="B5" s="9" t="str">
        <x:v>Root Cause</x:v>
      </x:c>
      <x:c r="C5" s="9" t="str">
        <x:v>Definition</x:v>
      </x:c>
      <x:c r="D5" s="9" t="str">
        <x:v>Canonical Example</x:v>
      </x:c>
      <x:c r="E5" s="9" t="str">
        <x:v>Standard Remediation Pattern</x:v>
      </x:c>
    </x:row>
    <x:row r="6" ht="30" hidden="0" customHeight="1">
      <x:c r="A6" s="22" t="str">
        <x:v>RC-01</x:v>
      </x:c>
      <x:c r="B6" s="16" t="str">
        <x:v>Integration gap</x:v>
      </x:c>
      <x:c r="C6" s="16" t="str">
        <x:v>Data exists in a source system but no pipe carries it to the consuming system.</x:v>
      </x:c>
      <x:c r="D6" s="16" t="str">
        <x:v>Returns exist in Shopify; Manago never receives RETURN events.</x:v>
      </x:c>
      <x:c r="E6" s="16" t="str">
        <x:v>Build the missing pipe; backfill common window with approval.</x:v>
      </x:c>
    </x:row>
    <x:row r="7" ht="30" hidden="0" customHeight="1">
      <x:c r="A7" s="19" t="str">
        <x:v>RC-02</x:v>
      </x:c>
      <x:c r="B7" s="8" t="str">
        <x:v>Mapping error</x:v>
      </x:c>
      <x:c r="C7" s="8" t="str">
        <x:v>A pipe exists but maps the wrong field, wrong granularity, or wrong semantic.</x:v>
      </x:c>
      <x:c r="D7" s="8" t="str">
        <x:v>Event value mapped to subtotal in one era, total in another.</x:v>
      </x:c>
      <x:c r="E7" s="8" t="str">
        <x:v>Fix mapping config; correct or era-flag affected records.</x:v>
      </x:c>
    </x:row>
    <x:row r="8" ht="30" hidden="0" customHeight="1">
      <x:c r="A8" s="22" t="str">
        <x:v>RC-03</x:v>
      </x:c>
      <x:c r="B8" s="16" t="str">
        <x:v>Guest / anonymous identity</x:v>
      </x:c>
      <x:c r="C8" s="16" t="str">
        <x:v>Commerce activity occurs without a durable identity the marketing platform can hold.</x:v>
      </x:c>
      <x:c r="D8" s="16" t="str">
        <x:v>Guest checkout orders with no customer account.</x:v>
      </x:c>
      <x:c r="E8" s="16" t="str">
        <x:v>Email-first contact creation; capture-point improvements as workflow opportunities.</x:v>
      </x:c>
    </x:row>
    <x:row r="9" ht="30" hidden="0" customHeight="1">
      <x:c r="A9" s="19" t="str">
        <x:v>RC-04</x:v>
      </x:c>
      <x:c r="B9" s="8" t="str">
        <x:v>Duplicate creation</x:v>
      </x:c>
      <x:c r="C9" s="8" t="str">
        <x:v>Multiple entry points create parallel records for one real-world entity.</x:v>
      </x:c>
      <x:c r="D9" s="8" t="str">
        <x:v>Newsletter form + checkout + import each created a contact.</x:v>
      </x:c>
      <x:c r="E9" s="8" t="str">
        <x:v>Merge plan with survivor designation; unify entry-point keys.</x:v>
      </x:c>
    </x:row>
    <x:row r="10" ht="30" hidden="0" customHeight="1">
      <x:c r="A10" s="22" t="str">
        <x:v>RC-05</x:v>
      </x:c>
      <x:c r="B10" s="16" t="str">
        <x:v>Sync lag / timing</x:v>
      </x:c>
      <x:c r="C10" s="16" t="str">
        <x:v>Pipes work but ordering, latency or scheduling produces stale or racing state.</x:v>
      </x:c>
      <x:c r="D10" s="16" t="str">
        <x:v>Stock updated in ERP daily, marketing reads a 3-day-old number.</x:v>
      </x:c>
      <x:c r="E10" s="16" t="str">
        <x:v>Cadence contract + freshness SLA + heartbeat monitoring.</x:v>
      </x:c>
    </x:row>
    <x:row r="11" ht="30" hidden="0" customHeight="1">
      <x:c r="A11" s="19" t="str">
        <x:v>RC-06</x:v>
      </x:c>
      <x:c r="B11" s="8" t="str">
        <x:v>Schema / definition drift</x:v>
      </x:c>
      <x:c r="C11" s="8" t="str">
        <x:v>The meaning or shape of a field changed over time without migration.</x:v>
      </x:c>
      <x:c r="D11" s="8" t="str">
        <x:v>Segment built on a detail whose format changed last year.</x:v>
      </x:c>
      <x:c r="E11" s="8" t="str">
        <x:v>Format contract per key; era boundaries flagged in canonical layer.</x:v>
      </x:c>
    </x:row>
    <x:row r="12" ht="30" hidden="0" customHeight="1">
      <x:c r="A12" s="22" t="str">
        <x:v>RC-07</x:v>
      </x:c>
      <x:c r="B12" s="16" t="str">
        <x:v>Consent flow divergence</x:v>
      </x:c>
      <x:c r="C12" s="16" t="str">
        <x:v>Consent capture, storage or propagation differs between systems.</x:v>
      </x:c>
      <x:c r="D12" s="16" t="str">
        <x:v>Opt-out in Manago never reaches Shopify's consent field.</x:v>
      </x:c>
      <x:c r="E12" s="16" t="str">
        <x:v>Source-of-truth policy per direction; propagation loop wired.</x:v>
      </x:c>
    </x:row>
    <x:row r="13" ht="30" hidden="0" customHeight="1">
      <x:c r="A13" s="19" t="str">
        <x:v>RC-08</x:v>
      </x:c>
      <x:c r="B13" s="8" t="str">
        <x:v>Manual entry / import artifact</x:v>
      </x:c>
      <x:c r="C13" s="8" t="str">
        <x:v>Human-entered or bulk-imported data carrying format noise or junk.</x:v>
      </x:c>
      <x:c r="D13" s="8" t="str">
        <x:v>ALL-CAPS names, epoch birthdays, purchased-list contacts.</x:v>
      </x:c>
      <x:c r="E13" s="8" t="str">
        <x:v>Normalisation batches with approval; provenance cohort tagging.</x:v>
      </x:c>
    </x:row>
    <x:row r="14" ht="30" hidden="0" customHeight="1">
      <x:c r="A14" s="22" t="str">
        <x:v>RC-09</x:v>
      </x:c>
      <x:c r="B14" s="16" t="str">
        <x:v>Historical migration gap</x:v>
      </x:c>
      <x:c r="C14" s="16" t="str">
        <x:v>The integration started at a point in time; earlier truth was never loaded.</x:v>
      </x:c>
      <x:c r="D14" s="16" t="str">
        <x:v>PURCHASE events begin 2024; orders begin 2019.</x:v>
      </x:c>
      <x:c r="E14" s="16" t="str">
        <x:v>Approved backfill within the FD-05 window; declare residual blind spots.</x:v>
      </x:c>
    </x:row>
    <x:row r="15" ht="30" hidden="0" customHeight="1">
      <x:c r="A15" s="19" t="str">
        <x:v>RC-10</x:v>
      </x:c>
      <x:c r="B15" s="8" t="str">
        <x:v>Deleted / archived residue</x:v>
      </x:c>
      <x:c r="C15" s="8" t="str">
        <x:v>Entities removed in the source live on in downstream surfaces.</x:v>
      </x:c>
      <x:c r="D15" s="8" t="str">
        <x:v>Archived products still in recommendation collections.</x:v>
      </x:c>
      <x:c r="E15" s="8" t="str">
        <x:v>Residue sweep + delete/archive webhooks wired.</x:v>
      </x:c>
    </x:row>
    <x:row r="16" ht="30" hidden="0" customHeight="1">
      <x:c r="A16" s="22" t="str">
        <x:v>RC-11</x:v>
      </x:c>
      <x:c r="B16" s="16" t="str">
        <x:v>Multi-store / multi-account ambiguity</x:v>
      </x:c>
      <x:c r="C16" s="16" t="str">
        <x:v>Data from parallel stores, locales or sub-accounts mixed or mis-scoped.</x:v>
      </x:c>
      <x:c r="D16" s="16" t="str">
        <x:v>Events without shopDomain in a three-store setup.</x:v>
      </x:c>
      <x:c r="E16" s="16" t="str">
        <x:v>Store/account registry (FD-06) enforced at every pipe.</x:v>
      </x:c>
    </x:row>
    <x:row r="17" ht="30" hidden="0" customHeight="1">
      <x:c r="A17" s="19" t="str">
        <x:v>RC-12</x:v>
      </x:c>
      <x:c r="B17" s="8" t="str">
        <x:v>Configuration error</x:v>
      </x:c>
      <x:c r="C17" s="8" t="str">
        <x:v>Tracking code, feed config, scopes or platform settings wrong or absent.</x:v>
      </x:c>
      <x:c r="D17" s="8" t="str">
        <x:v>Monitoring code missing on one storefront domain.</x:v>
      </x:c>
      <x:c r="E17" s="8" t="str">
        <x:v>Configuration audit + guided repair + verification test.</x:v>
      </x:c>
    </x:row>
    <x:row r="18" ht="30" hidden="0" customHeight="1">
      <x:c r="A18" s="22" t="str">
        <x:v>RC-13</x:v>
      </x:c>
      <x:c r="B18" s="16" t="str">
        <x:v>API contract violation / type misuse</x:v>
      </x:c>
      <x:c r="C18" s="16" t="str">
        <x:v>Integration uses the platform API outside its documented semantics.</x:v>
      </x:c>
      <x:c r="D18" s="16" t="str">
        <x:v>PURCHASE type used for reservations; event type changed post-hoc.</x:v>
      </x:c>
      <x:c r="E18" s="16" t="str">
        <x:v>Vocabulary contract; integration re-routing; never mutate types.</x:v>
      </x:c>
    </x:row>
    <x:row r="19" ht="30" hidden="0" customHeight="1">
      <x:c r="A19" s="19" t="str">
        <x:v>RC-14</x:v>
      </x:c>
      <x:c r="B19" s="8" t="str">
        <x:v>Format / unit / timezone inconsistency</x:v>
      </x:c>
      <x:c r="C19" s="8" t="str">
        <x:v>Same fact encoded differently: units, currency basis, TZ, date format.</x:v>
      </x:c>
      <x:c r="D19" s="8" t="str">
        <x:v>Event dates in seconds instead of milliseconds (1970 artifacts).</x:v>
      </x:c>
      <x:c r="E19" s="8" t="str">
        <x:v>Canonical normalisation rules; unit validation at ingestion.</x:v>
      </x:c>
    </x:row>
    <x:row r="20" ht="30" hidden="0" customHeight="1">
      <x:c r="A20" s="22" t="str">
        <x:v>RC-15</x:v>
      </x:c>
      <x:c r="B20" s="16" t="str">
        <x:v>Volume loss</x:v>
      </x:c>
      <x:c r="C20" s="16" t="str">
        <x:v>Records dropped by rate limits, retry expiry, or partial failures.</x:v>
      </x:c>
      <x:c r="D20" s="16" t="str">
        <x:v>Events for not-yet-existing contacts expire after 1h retry window.</x:v>
      </x:c>
      <x:c r="E20" s="16" t="str">
        <x:v>Ordering fixes, idempotent retries, gap-list recovery.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hidden="0" customWidth="1"/>
    <x:col min="2" max="11" width="24" hidden="0" customWidth="1"/>
  </x:cols>
  <x:sheetData>
    <x:row r="1" ht="21.75" hidden="0" customHeight="1">
      <x:c r="A1" s="1" t="str">
        <x:v>Coverage Matrix — Entity × Check Type</x:v>
      </x:c>
      <x:c r="B1"/>
      <x:c r="C1"/>
      <x:c r="D1"/>
      <x:c r="E1"/>
      <x:c r="F1"/>
      <x:c r="G1"/>
      <x:c r="H1"/>
      <x:c r="I1"/>
      <x:c r="J1"/>
      <x:c r="K1"/>
    </x:row>
    <x:row r="2" ht="15.75" hidden="0" customHeight="1">
      <x:c r="A2" s="2" t="str">
        <x:v>Completeness proof: every intersection either carries Check IDs or an explicit n/a with reason</x:v>
      </x:c>
      <x:c r="B2"/>
      <x:c r="C2"/>
      <x:c r="D2"/>
      <x:c r="E2"/>
      <x:c r="F2"/>
      <x:c r="G2"/>
      <x:c r="H2"/>
      <x:c r="I2"/>
      <x:c r="J2"/>
      <x:c r="K2"/>
    </x:row>
    <x:row r="3" ht="13.5" hidden="0" customHeight="1">
      <x:c r="A3" s="3" t="str">
        <x:v>Read a row to see how completely an entity is inspected; read a column to audit a check-type across the model.</x:v>
      </x:c>
      <x:c r="B3"/>
      <x:c r="C3"/>
      <x:c r="D3"/>
      <x:c r="E3"/>
      <x:c r="F3"/>
      <x:c r="G3"/>
      <x:c r="H3"/>
      <x:c r="I3"/>
      <x:c r="J3"/>
      <x:c r="K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  <x:c r="F4"/>
      <x:c r="G4"/>
      <x:c r="H4"/>
      <x:c r="I4"/>
      <x:c r="J4"/>
      <x:c r="K4"/>
    </x:row>
    <x:row r="5" ht="30" hidden="0" customHeight="1">
      <x:c r="A5" s="9" t="str">
        <x:v>Entity</x:v>
      </x:c>
      <x:c r="B5" s="9" t="str">
        <x:v>Schema / format</x:v>
      </x:c>
      <x:c r="C5" s="9" t="str">
        <x:v>Presence</x:v>
      </x:c>
      <x:c r="D5" s="9" t="str">
        <x:v>Freshness</x:v>
      </x:c>
      <x:c r="E5" s="9" t="str">
        <x:v>Uniqueness</x:v>
      </x:c>
      <x:c r="F5" s="9" t="str">
        <x:v>Referential integrity</x:v>
      </x:c>
      <x:c r="G5" s="9" t="str">
        <x:v>Cross-system reconciliation</x:v>
      </x:c>
      <x:c r="H5" s="9" t="str">
        <x:v>Consent compliance</x:v>
      </x:c>
      <x:c r="I5" s="9" t="str">
        <x:v>Cross-field consistency</x:v>
      </x:c>
      <x:c r="J5" s="9" t="str">
        <x:v>Statistical anomaly</x:v>
      </x:c>
      <x:c r="K5" s="9" t="str">
        <x:v>Connectivity</x:v>
      </x:c>
    </x:row>
    <x:row r="6" ht="51.75" hidden="0" customHeight="1">
      <x:c r="A6" s="29" t="str">
        <x:v>Connection / credentials  ·  single-purpose gate entity; all other types n/a — no business data on this entity</x:v>
      </x:c>
      <x:c r="B6" s="30" t="str">
        <x:v>n/a — —</x:v>
      </x:c>
      <x:c r="C6" s="30" t="str">
        <x:v>n/a — —</x:v>
      </x:c>
      <x:c r="D6" s="30" t="str">
        <x:v>n/a — —</x:v>
      </x:c>
      <x:c r="E6" s="30" t="str">
        <x:v>n/a — —</x:v>
      </x:c>
      <x:c r="F6" s="30" t="str">
        <x:v>n/a — —</x:v>
      </x:c>
      <x:c r="G6" s="30" t="str">
        <x:v>n/a — —</x:v>
      </x:c>
      <x:c r="H6" s="30" t="str">
        <x:v>n/a — —</x:v>
      </x:c>
      <x:c r="I6" s="30" t="str">
        <x:v>n/a — —</x:v>
      </x:c>
      <x:c r="J6" s="30" t="str">
        <x:v>n/a — —</x:v>
      </x:c>
      <x:c r="K6" s="15" t="str">
        <x:v>FD-01, FD-02, FD-03, FD-04, FD-05, FD-06, FD-07, FD-08</x:v>
      </x:c>
    </x:row>
    <x:row r="7" ht="51.75" hidden="0" customHeight="1">
      <x:c r="A7" s="7" t="str">
        <x:v>Contact / Customer identity</x:v>
      </x:c>
      <x:c r="B7" s="14" t="str">
        <x:v>CI-08, CI-09, CI-12</x:v>
      </x:c>
      <x:c r="C7" s="14" t="str">
        <x:v>CI-02</x:v>
      </x:c>
      <x:c r="D7" s="14" t="str">
        <x:v>CI-15</x:v>
      </x:c>
      <x:c r="E7" s="14" t="str">
        <x:v>CI-03, CI-04</x:v>
      </x:c>
      <x:c r="F7" s="14" t="str">
        <x:v>CI-05, CI-16</x:v>
      </x:c>
      <x:c r="G7" s="14" t="str">
        <x:v>CI-01, CI-06, CI-07, CI-10, CI-11</x:v>
      </x:c>
      <x:c r="H7" s="14" t="str">
        <x:v>covered on Consent entity (CC-01…12)</x:v>
      </x:c>
      <x:c r="I7" s="14" t="str">
        <x:v>SP-11 (identity+properties)</x:v>
      </x:c>
      <x:c r="J7" s="14" t="str">
        <x:v>CI-13, CI-14</x:v>
      </x:c>
      <x:c r="K7" s="31" t="str">
        <x:v>n/a — —</x:v>
      </x:c>
    </x:row>
    <x:row r="8" ht="51.75" hidden="0" customHeight="1">
      <x:c r="A8" s="29" t="str">
        <x:v>External Event (PURCHASE/CART/RETURN…)</x:v>
      </x:c>
      <x:c r="B8" s="15" t="str">
        <x:v>LE-06, LE-10</x:v>
      </x:c>
      <x:c r="C8" s="15" t="str">
        <x:v>LE-03, LE-15, ME-07</x:v>
      </x:c>
      <x:c r="D8" s="15" t="str">
        <x:v>LE-08</x:v>
      </x:c>
      <x:c r="E8" s="15" t="str">
        <x:v>LE-04</x:v>
      </x:c>
      <x:c r="F8" s="15" t="str">
        <x:v>LE-12, PT-01, PT-02</x:v>
      </x:c>
      <x:c r="G8" s="15" t="str">
        <x:v>LE-01, LE-02, LE-05, LE-07, LE-09, LE-14</x:v>
      </x:c>
      <x:c r="H8" s="30" t="str">
        <x:v>n/a — events carry no consent semantics; consent checked on Consent entity</x:v>
      </x:c>
      <x:c r="I8" s="30" t="str">
        <x:v>n/a — single-record events; cross-field logic lives on Contact (SP-11)</x:v>
      </x:c>
      <x:c r="J8" s="15" t="str">
        <x:v>LE-11, LE-13, PT-14</x:v>
      </x:c>
      <x:c r="K8" s="30" t="str">
        <x:v>n/a — —</x:v>
      </x:c>
    </x:row>
    <x:row r="9" ht="51.75" hidden="0" customHeight="1">
      <x:c r="A9" s="7" t="str">
        <x:v>Order (commerce truth)</x:v>
      </x:c>
      <x:c r="B9" s="14" t="str">
        <x:v>PT-07, PT-08, ME-10</x:v>
      </x:c>
      <x:c r="C9" s="31" t="str">
        <x:v>n/a — order existence is the Shopify source itself; absence checked as event gap LE-05</x:v>
      </x:c>
      <x:c r="D9" s="31" t="str">
        <x:v>n/a — orders are immutable facts; fulfilment freshness under BR-06</x:v>
      </x:c>
      <x:c r="E9" s="31" t="str">
        <x:v>n/a — Shopify enforces order ID uniqueness natively</x:v>
      </x:c>
      <x:c r="F9" s="14" t="str">
        <x:v>LE-03 (order↔event key)</x:v>
      </x:c>
      <x:c r="G9" s="14" t="str">
        <x:v>PT-15, BR-06, BR-07</x:v>
      </x:c>
      <x:c r="H9" s="31" t="str">
        <x:v>n/a — no consent semantics on orders</x:v>
      </x:c>
      <x:c r="I9" s="31" t="str">
        <x:v>n/a — intra-order math is Shopify-enforced; composition rule covered by PT-08</x:v>
      </x:c>
      <x:c r="J9" s="14" t="str">
        <x:v>PT-14 (shared with events)</x:v>
      </x:c>
      <x:c r="K9" s="31" t="str">
        <x:v>n/a — —</x:v>
      </x:c>
    </x:row>
    <x:row r="10" ht="51.75" hidden="0" customHeight="1">
      <x:c r="A10" s="29" t="str">
        <x:v>Product / Catalog</x:v>
      </x:c>
      <x:c r="B10" s="15" t="str">
        <x:v>PT-09</x:v>
      </x:c>
      <x:c r="C10" s="15" t="str">
        <x:v>PT-11, BR-01, BR-09</x:v>
      </x:c>
      <x:c r="D10" s="15" t="str">
        <x:v>BR-02, PT-05 (price staleness)</x:v>
      </x:c>
      <x:c r="E10" s="30" t="str">
        <x:v>n/a — catalog keyed on productId+location; duplicates manifest as PT-01/PT-09 findings</x:v>
      </x:c>
      <x:c r="F10" s="15" t="str">
        <x:v>PT-01, PT-02, PT-10</x:v>
      </x:c>
      <x:c r="G10" s="15" t="str">
        <x:v>PT-03, PT-05, PT-06, BR-04, BR-08</x:v>
      </x:c>
      <x:c r="H10" s="30" t="str">
        <x:v>n/a — no consent semantics on products</x:v>
      </x:c>
      <x:c r="I10" s="15" t="str">
        <x:v>BR-03, BR-11</x:v>
      </x:c>
      <x:c r="J10" s="30" t="str">
        <x:v>n/a — no statistical class defined in v1; drift covered by recurring reconciliations</x:v>
      </x:c>
      <x:c r="K10" s="30" t="str">
        <x:v>n/a — —</x:v>
      </x:c>
    </x:row>
    <x:row r="11" ht="51.75" hidden="0" customHeight="1">
      <x:c r="A11" s="7" t="str">
        <x:v>Tag / Detail / Key Information / Segment</x:v>
      </x:c>
      <x:c r="B11" s="14" t="str">
        <x:v>SP-03, SP-04, SP-05</x:v>
      </x:c>
      <x:c r="C11" s="14" t="str">
        <x:v>SP-06, SP-13</x:v>
      </x:c>
      <x:c r="D11" s="14" t="str">
        <x:v>SP-12</x:v>
      </x:c>
      <x:c r="E11" s="14" t="str">
        <x:v>SP-01, SP-07</x:v>
      </x:c>
      <x:c r="F11" s="14" t="str">
        <x:v>SP-02</x:v>
      </x:c>
      <x:c r="G11" s="31" t="str">
        <x:v>n/a — properties are Manago-native; source parity enters via SP-13 mapping coverage</x:v>
      </x:c>
      <x:c r="H11" s="31" t="str">
        <x:v>n/a — consent stored as consent objects, not details — see Consent entity</x:v>
      </x:c>
      <x:c r="I11" s="14" t="str">
        <x:v>SP-11</x:v>
      </x:c>
      <x:c r="J11" s="14" t="str">
        <x:v>SP-08</x:v>
      </x:c>
      <x:c r="K11" s="31" t="str">
        <x:v>n/a — —</x:v>
      </x:c>
    </x:row>
    <x:row r="12" ht="51.75" hidden="0" customHeight="1">
      <x:c r="A12" s="29" t="str">
        <x:v>Funnel / RFM / Loyalty state</x:v>
      </x:c>
      <x:c r="B12" s="30" t="str">
        <x:v>n/a — platform-computed structures; format is platform-enforced</x:v>
      </x:c>
      <x:c r="C12" s="15" t="str">
        <x:v>SP-09, SP-10</x:v>
      </x:c>
      <x:c r="D12" s="30" t="str">
        <x:v>n/a — recomputation cadence is platform-internal; staleness manifests in SP-10/SP-14 findings</x:v>
      </x:c>
      <x:c r="E12" s="30" t="str">
        <x:v>n/a — platform-enforced single assignment</x:v>
      </x:c>
      <x:c r="F12" s="30" t="str">
        <x:v>n/a — platform-internal</x:v>
      </x:c>
      <x:c r="G12" s="15" t="str">
        <x:v>SP-14</x:v>
      </x:c>
      <x:c r="H12" s="30" t="str">
        <x:v>n/a — no consent semantics</x:v>
      </x:c>
      <x:c r="I12" s="15" t="str">
        <x:v>SP-11 (tier vs spend)</x:v>
      </x:c>
      <x:c r="J12" s="30" t="str">
        <x:v>n/a — v1 relies on deterministic recomputation instead</x:v>
      </x:c>
      <x:c r="K12" s="30" t="str">
        <x:v>n/a — —</x:v>
      </x:c>
    </x:row>
    <x:row r="13" ht="51.75" hidden="0" customHeight="1">
      <x:c r="A13" s="7" t="str">
        <x:v>Consent (email/SMS/custom/erasure)</x:v>
      </x:c>
      <x:c r="B13" s="31" t="str">
        <x:v>n/a — consent states are enumerated platform values; domain enforced natively</x:v>
      </x:c>
      <x:c r="C13" s="14" t="str">
        <x:v>CC-03, CC-04, CC-09</x:v>
      </x:c>
      <x:c r="D13" s="14" t="str">
        <x:v>CC-12</x:v>
      </x:c>
      <x:c r="E13" s="31" t="str">
        <x:v>n/a — one consent object per channel per contact, platform-enforced</x:v>
      </x:c>
      <x:c r="F13" s="14" t="str">
        <x:v>CC-08 (state vs journey membership)</x:v>
      </x:c>
      <x:c r="G13" s="14" t="str">
        <x:v>CC-01, CC-02, CC-05, CC-11</x:v>
      </x:c>
      <x:c r="H13" s="14" t="str">
        <x:v>CC-06, CC-07</x:v>
      </x:c>
      <x:c r="I13" s="14" t="str">
        <x:v>CC-10</x:v>
      </x:c>
      <x:c r="J13" s="31" t="str">
        <x:v>n/a — state distribution anomalies covered under CI-13</x:v>
      </x:c>
      <x:c r="K13" s="31" t="str">
        <x:v>n/a — —</x:v>
      </x:c>
    </x:row>
    <x:row r="14" ht="51.75" hidden="0" customHeight="1">
      <x:c r="A14" s="29" t="str">
        <x:v>Coupon / Discount</x:v>
      </x:c>
      <x:c r="B14" s="30" t="str">
        <x:v>n/a — code format platform-enforced</x:v>
      </x:c>
      <x:c r="C14" s="30" t="str">
        <x:v>n/a — issuance is intentional, not a coverage target</x:v>
      </x:c>
      <x:c r="D14" s="15" t="str">
        <x:v>PT-13 (expiry parity)</x:v>
      </x:c>
      <x:c r="E14" s="30" t="str">
        <x:v>n/a — code uniqueness Shopify-enforced</x:v>
      </x:c>
      <x:c r="F14" s="15" t="str">
        <x:v>PT-13 (issued↔valid↔redeemed loop)</x:v>
      </x:c>
      <x:c r="G14" s="15" t="str">
        <x:v>PT-13</x:v>
      </x:c>
      <x:c r="H14" s="30" t="str">
        <x:v>n/a — no consent semantics</x:v>
      </x:c>
      <x:c r="I14" s="30" t="str">
        <x:v>n/a — covered inside PT-13 loop</x:v>
      </x:c>
      <x:c r="J14" s="30" t="str">
        <x:v>n/a — v1: redemption anomalies deferred to learning loop</x:v>
      </x:c>
      <x:c r="K14" s="30" t="str">
        <x:v>n/a — —</x:v>
      </x:c>
    </x:row>
    <x:row r="15" ht="51.75" hidden="0" customHeight="1">
      <x:c r="A15" s="7" t="str">
        <x:v>Visit / UTM / Engagement telemetry</x:v>
      </x:c>
      <x:c r="B15" s="14" t="str">
        <x:v>ME-01, ME-03</x:v>
      </x:c>
      <x:c r="C15" s="14" t="str">
        <x:v>LE-15, ME-04</x:v>
      </x:c>
      <x:c r="D15" s="31" t="str">
        <x:v>n/a — telemetry is a stream; absence/lag covered by presence + FD-07</x:v>
      </x:c>
      <x:c r="E15" s="14" t="str">
        <x:v>ME-05 (conversion dedup)</x:v>
      </x:c>
      <x:c r="F15" s="31" t="str">
        <x:v>n/a — visit↔contact linkage measured as CI-14 match rate</x:v>
      </x:c>
      <x:c r="G15" s="31" t="str">
        <x:v>n/a — no external counterpart in v1 stack (GA4 connector is post-MVP1)</x:v>
      </x:c>
      <x:c r="H15" s="31" t="str">
        <x:v>n/a — tracker consent-mode covered under CC-04 capture wiring</x:v>
      </x:c>
      <x:c r="I15" s="31" t="str">
        <x:v>n/a — —</x:v>
      </x:c>
      <x:c r="J15" s="14" t="str">
        <x:v>ME-08, ME-09</x:v>
      </x:c>
      <x:c r="K15" s="31" t="str">
        <x:v>n/a — —</x:v>
      </x:c>
    </x:row>
    <x:row r="16" ht="51.75" hidden="0" customHeight="1">
      <x:c r="A16" s="29" t="str">
        <x:v>Workflow / Automation inventory</x:v>
      </x:c>
      <x:c r="B16" s="30" t="str">
        <x:v>n/a — workflow definitions are platform objects; Klints reads, never lints platform internals in v1</x:v>
      </x:c>
      <x:c r="C16" s="15" t="str">
        <x:v>ME-02 (measurement wiring)</x:v>
      </x:c>
      <x:c r="D16" s="15" t="str">
        <x:v>SP-12 (condition-field freshness)</x:v>
      </x:c>
      <x:c r="E16" s="30" t="str">
        <x:v>n/a — —</x:v>
      </x:c>
      <x:c r="F16" s="15" t="str">
        <x:v>SP-02 (dead-end conditions), CC-08</x:v>
      </x:c>
      <x:c r="G16" s="30" t="str">
        <x:v>n/a — no counterpart system</x:v>
      </x:c>
      <x:c r="H16" s="15" t="str">
        <x:v>CC-07 (entry guards)</x:v>
      </x:c>
      <x:c r="I16" s="30" t="str">
        <x:v>n/a — —</x:v>
      </x:c>
      <x:c r="J16" s="30" t="str">
        <x:v>n/a — performance anomalies belong to the learning loop, not the DCS</x:v>
      </x:c>
      <x:c r="K16" s="30" t="str">
        <x:v>n/a — —</x:v>
      </x:c>
    </x:row>
    <x:row r="17" ht="51.75" hidden="0" customHeight="1">
      <x:c r="A17" s="7" t="str">
        <x:v>ERP domain (margin/stock/status/credit notes)</x:v>
      </x:c>
      <x:c r="B17" s="14" t="str">
        <x:v>BR-10</x:v>
      </x:c>
      <x:c r="C17" s="14" t="str">
        <x:v>BR-01, BR-05, BR-09</x:v>
      </x:c>
      <x:c r="D17" s="14" t="str">
        <x:v>BR-02, BR-12</x:v>
      </x:c>
      <x:c r="E17" s="31" t="str">
        <x:v>n/a — ERP-internal key discipline out of Klints scope</x:v>
      </x:c>
      <x:c r="F17" s="14" t="str">
        <x:v>CI-16 (customer join)</x:v>
      </x:c>
      <x:c r="G17" s="14" t="str">
        <x:v>BR-04, BR-06, BR-07, BR-08, PT-06, PT-15</x:v>
      </x:c>
      <x:c r="H17" s="14" t="str">
        <x:v>CC-11 (erasure propagation)</x:v>
      </x:c>
      <x:c r="I17" s="14" t="str">
        <x:v>BR-11</x:v>
      </x:c>
      <x:c r="J17" s="31" t="str">
        <x:v>n/a — v1: ERP-side anomalies surface via freshness heartbeat BR-12</x:v>
      </x:c>
      <x:c r="K17" s="31" t="str">
        <x:v>n/a — —</x:v>
      </x:c>
    </x:row>
    <x:row r="18" ht="51.75" hidden="0" customHeight="1">
      <x:c r="A18" s="29" t="str">
        <x:v>Timestamps / cross-cutting</x:v>
      </x:c>
      <x:c r="B18" s="15" t="str">
        <x:v>ME-06, LE-06</x:v>
      </x:c>
      <x:c r="C18" s="30" t="str">
        <x:v>n/a — —</x:v>
      </x:c>
      <x:c r="D18" s="30" t="str">
        <x:v>n/a — covered per-entity</x:v>
      </x:c>
      <x:c r="E18" s="30" t="str">
        <x:v>n/a — —</x:v>
      </x:c>
      <x:c r="F18" s="30" t="str">
        <x:v>n/a — —</x:v>
      </x:c>
      <x:c r="G18" s="15" t="str">
        <x:v>ME-06</x:v>
      </x:c>
      <x:c r="H18" s="30" t="str">
        <x:v>n/a — —</x:v>
      </x:c>
      <x:c r="I18" s="30" t="str">
        <x:v>n/a — —</x:v>
      </x:c>
      <x:c r="J18" s="30" t="str">
        <x:v>n/a — —</x:v>
      </x:c>
      <x:c r="K18" s="30" t="str">
        <x:v>n/a — 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7" hidden="0" customWidth="1"/>
    <x:col min="2" max="2" width="26" hidden="0" customWidth="1"/>
    <x:col min="3" max="3" width="22" hidden="0" customWidth="1"/>
    <x:col min="4" max="4" width="44" hidden="0" customWidth="1"/>
    <x:col min="5" max="5" width="52" hidden="0" customWidth="1"/>
    <x:col min="6" max="6" width="34" hidden="0" customWidth="1"/>
  </x:cols>
  <x:sheetData>
    <x:row r="1" ht="21.75" hidden="0" customHeight="1">
      <x:c r="A1" s="1" t="str">
        <x:v>Initial Connect Runbook</x:v>
      </x:c>
      <x:c r="B1"/>
      <x:c r="C1"/>
      <x:c r="D1"/>
      <x:c r="E1"/>
      <x:c r="F1"/>
    </x:row>
    <x:row r="2" ht="15.75" hidden="0" customHeight="1">
      <x:c r="A2" s="2" t="str">
        <x:v>Phase-ordered sweep for the onboarding data consistency check · agent execution contract</x:v>
      </x:c>
      <x:c r="B2"/>
      <x:c r="C2"/>
      <x:c r="D2"/>
      <x:c r="E2"/>
      <x:c r="F2"/>
    </x:row>
    <x:row r="3" ht="13.5" hidden="0" customHeight="1">
      <x:c r="A3" s="3" t="str">
        <x:v>Phases run in order; a failed gate stops or scopes the sweep. Expect the initial sweep to surface materially more findings than steady-state operation — plan the fix queue accordingly.</x:v>
      </x:c>
      <x:c r="B3"/>
      <x:c r="C3"/>
      <x:c r="D3"/>
      <x:c r="E3"/>
      <x:c r="F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  <x:c r="F4"/>
    </x:row>
    <x:row r="5" ht="30" hidden="0" customHeight="1">
      <x:c r="A5" s="9" t="str">
        <x:v>Phase</x:v>
      </x:c>
      <x:c r="B5" s="9" t="str">
        <x:v>Name</x:v>
      </x:c>
      <x:c r="C5" s="9" t="str">
        <x:v>Check IDs</x:v>
      </x:c>
      <x:c r="D5" s="9" t="str">
        <x:v>What runs</x:v>
      </x:c>
      <x:c r="E5" s="9" t="str">
        <x:v>Sequencing &amp; gating rules</x:v>
      </x:c>
      <x:c r="F5" s="9" t="str">
        <x:v>Output artifact</x:v>
      </x:c>
    </x:row>
    <x:row r="6" ht="45.75" hidden="0" customHeight="1">
      <x:c r="A6" s="22" t="str">
        <x:v>0</x:v>
      </x:c>
      <x:c r="B6" s="29" t="str">
        <x:v>Connectivity &amp; scoping gate</x:v>
      </x:c>
      <x:c r="C6" s="22" t="str">
        <x:v>FD-01 … FD-08</x:v>
      </x:c>
      <x:c r="D6" s="16" t="str">
        <x:v>Authenticate all connectors, verify scopes, measure rate budget, map account topology and history depth, confirm tracking code.</x:v>
      </x:c>
      <x:c r="E6" s="16" t="str">
        <x:v>Hard gate. No scoring on a failed or partial gate — emit 'sweep incomplete'. FD-03 failure degrades gracefully: BR dimension flagged 'not connected'.</x:v>
      </x:c>
      <x:c r="F6" s="16" t="str">
        <x:v>Sweep metadata record (history windows, account map, rate budget).</x:v>
      </x:c>
    </x:row>
    <x:row r="7" ht="45.75" hidden="0" customHeight="1">
      <x:c r="A7" s="19" t="str">
        <x:v>1</x:v>
      </x:c>
      <x:c r="B7" s="7" t="str">
        <x:v>Entity counts — coarse reconciliation</x:v>
      </x:c>
      <x:c r="C7" s="19" t="str">
        <x:v>CI-01, PT-03, LE-01 (aggregate pass)</x:v>
      </x:c>
      <x:c r="D7" s="8" t="str">
        <x:v>Cheap aggregate counts across systems to size the problem before expensive row-level work.</x:v>
      </x:c>
      <x:c r="E7" s="8" t="str">
        <x:v>Orders full sweep by month; contacts and products full count. Deviations here prioritise which row-level diffs run first.</x:v>
      </x:c>
      <x:c r="F7" s="8" t="str">
        <x:v>Deviation map per entity per month.</x:v>
      </x:c>
    </x:row>
    <x:row r="8" ht="45.75" hidden="0" customHeight="1">
      <x:c r="A8" s="22" t="str">
        <x:v>2</x:v>
      </x:c>
      <x:c r="B8" s="29" t="str">
        <x:v>Identity resolution</x:v>
      </x:c>
      <x:c r="C8" s="22" t="str">
        <x:v>CI-02 … CI-16</x:v>
      </x:c>
      <x:c r="D8" s="16" t="str">
        <x:v>Row-level identity: linkage keys, duplicates, guest share, format validity, ERP join.</x:v>
      </x:c>
      <x:c r="E8" s="16" t="str">
        <x:v>CI-05 (external ID linkage) runs before all row-level cross-system checks — it is their join spine. CI-03 merge plans queue for approval; nothing merges inside the sweep.</x:v>
      </x:c>
      <x:c r="F8" s="16" t="str">
        <x:v>Identity link table + duplicate clusters + classified gap cohorts.</x:v>
      </x:c>
    </x:row>
    <x:row r="9" ht="45.75" hidden="0" customHeight="1">
      <x:c r="A9" s="19" t="str">
        <x:v>3</x:v>
      </x:c>
      <x:c r="B9" s="7" t="str">
        <x:v>Transaction &amp; event integrity</x:v>
      </x:c>
      <x:c r="C9" s="19" t="str">
        <x:v>LE-01 … LE-15</x:v>
      </x:c>
      <x:c r="D9" s="8" t="str">
        <x:v>Order↔event parity, gap lists, duplicates, timestamps, carts, returns, historical depth.</x:v>
      </x:c>
      <x:c r="E9" s="8" t="str">
        <x:v>Runs on the Phase-2 link table. LE-05 gap list is the backfill workplan; LE-09 returns pipe is typically the single highest-impact finding at initial connect.</x:v>
      </x:c>
      <x:c r="F9" s="8" t="str">
        <x:v>Order-level gap/duplicate lists + backfill batches (pending approval).</x:v>
      </x:c>
    </x:row>
    <x:row r="10" ht="45.75" hidden="0" customHeight="1">
      <x:c r="A10" s="22" t="str">
        <x:v>4</x:v>
      </x:c>
      <x:c r="B10" s="29" t="str">
        <x:v>Consent &amp; channel compliance</x:v>
      </x:c>
      <x:c r="C10" s="22" t="str">
        <x:v>CC-01 … CC-12</x:v>
      </x:c>
      <x:c r="D10" s="16" t="str">
        <x:v>Consent parity quadrants, provenance, propagation loop, violation scan, reachability.</x:v>
      </x:c>
      <x:c r="E10" s="16" t="str">
        <x:v>Compliance findings outrank revenue findings in the fix queue by default. Opt-out propagation (CC-05) is repaired before any backfill writes consent fields (CI-07 dependency).</x:v>
      </x:c>
      <x:c r="F10" s="16" t="str">
        <x:v>Consent quadrant matrix + compliance findings + reachability truth.</x:v>
      </x:c>
    </x:row>
    <x:row r="11" ht="45.75" hidden="0" customHeight="1">
      <x:c r="A11" s="19" t="str">
        <x:v>5</x:v>
      </x:c>
      <x:c r="B11" s="7" t="str">
        <x:v>Product, catalog &amp; pricing</x:v>
      </x:c>
      <x:c r="C11" s="19" t="str">
        <x:v>PT-01 … PT-11, PT-13</x:v>
      </x:c>
      <x:c r="D11" s="8" t="str">
        <x:v>Catalog completeness, ID conventions, price/stock parity, residue, coupon loop.</x:v>
      </x:c>
      <x:c r="E11" s="8" t="str">
        <x:v>PT-09 (ID convention) resolves before PT-01 dangling-ID counts are final — convention mismatch masquerades as missing products.</x:v>
      </x:c>
      <x:c r="F11" s="8" t="str">
        <x:v>Catalog reconciliation plan + convention decision record.</x:v>
      </x:c>
    </x:row>
    <x:row r="12" ht="45.75" hidden="0" customHeight="1">
      <x:c r="A12" s="22" t="str">
        <x:v>6</x:v>
      </x:c>
      <x:c r="B12" s="29" t="str">
        <x:v>Segments, properties &amp; platform state</x:v>
      </x:c>
      <x:c r="C12" s="22" t="str">
        <x:v>SP-01 … SP-14, PT-12</x:v>
      </x:c>
      <x:c r="D12" s="16" t="str">
        <x:v>Tag hygiene, detail formats, namespace, segment sanity, RFM coverage, contradictions.</x:v>
      </x:c>
      <x:c r="E12" s="16" t="str">
        <x:v>SP-07 (klints_ namespace) is a writeback gate: no Klints write anywhere until the namespace is verified clean.</x:v>
      </x:c>
      <x:c r="F12" s="16" t="str">
        <x:v>Property normalisation batches (pending approval) + segment repair list.</x:v>
      </x:c>
    </x:row>
    <x:row r="13" ht="45.75" hidden="0" customHeight="1">
      <x:c r="A13" s="19" t="str">
        <x:v>7</x:v>
      </x:c>
      <x:c r="B13" s="7" t="str">
        <x:v>Measurement readiness</x:v>
      </x:c>
      <x:c r="C13" s="19" t="str">
        <x:v>ME-01 … ME-10</x:v>
      </x:c>
      <x:c r="D13" s="8" t="str">
        <x:v>Attribution wiring, UTM hygiene, dedup rule, baselines, deliverability posture.</x:v>
      </x:c>
      <x:c r="E13" s="8" t="str">
        <x:v>ME-08 baseline computability feeds every future blueprint's expected-impact field — it closes the loop to the Use Case Library.</x:v>
      </x:c>
      <x:c r="F13" s="8" t="str">
        <x:v>Measurement readiness report per workflow candidate.</x:v>
      </x:c>
    </x:row>
    <x:row r="14" ht="45.75" hidden="0" customHeight="1">
      <x:c r="A14" s="22" t="str">
        <x:v>8</x:v>
      </x:c>
      <x:c r="B14" s="29" t="str">
        <x:v>Business reality (ERP truth)</x:v>
      </x:c>
      <x:c r="C14" s="22" t="str">
        <x:v>BR-01 … BR-12, PT-15</x:v>
      </x:c>
      <x:c r="D14" s="16" t="str">
        <x:v>Margin coverage, stock freshness, OOS exposure, status parity, margin-safe computability.</x:v>
      </x:c>
      <x:c r="E14" s="16" t="str">
        <x:v>Runs only if FD-03 passed; otherwise dimension reported 'not connected' — never silently zero. BR-03/BR-04 findings can trigger immediate advisory alerts (actively promoted dead items).</x:v>
      </x:c>
      <x:c r="F14" s="16" t="str">
        <x:v>ERP governance findings + margin/stock coverage truth.</x:v>
      </x:c>
    </x:row>
    <x:row r="15" ht="45.75" hidden="0" customHeight="1">
      <x:c r="A15" s="19" t="str">
        <x:v>9</x:v>
      </x:c>
      <x:c r="B15" s="7" t="str">
        <x:v>Score assembly &amp; fix queue</x:v>
      </x:c>
      <x:c r="C15" s="19" t="str">
        <x:v>— (synthesis)</x:v>
      </x:c>
      <x:c r="D15" s="8" t="str">
        <x:v>Compute sub-scores and headline DCS, rank issues by severity × workflow value, assemble Data Fix Blueprints for MVP1-templated classes.</x:v>
      </x:c>
      <x:c r="E15" s="8" t="str">
        <x:v>Confidence attached per issue. The score gates the brain: below-threshold dimensions route to fix blueprints before any workflow blueprint is proposed. Approval queue ordered: compliance → revenue-critical pipes → precision → hygiene.</x:v>
      </x:c>
      <x:c r="F15" s="8" t="str">
        <x:v>DCS report + ranked issue list + fix blueprint queue (pending approval).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3" hidden="0" customWidth="1"/>
    <x:col min="2" max="2" width="30" hidden="0" customWidth="1"/>
    <x:col min="3" max="4" width="34" hidden="0" customWidth="1"/>
    <x:col min="5" max="5" width="26" hidden="0" customWidth="1"/>
    <x:col min="6" max="6" width="42" hidden="0" customWidth="1"/>
  </x:cols>
  <x:sheetData>
    <x:row r="1" ht="21.75" hidden="0" customHeight="1">
      <x:c r="A1" s="1" t="str">
        <x:v>Field Mapping Reference</x:v>
      </x:c>
      <x:c r="B1"/>
      <x:c r="C1"/>
      <x:c r="D1"/>
      <x:c r="E1"/>
      <x:c r="F1"/>
    </x:row>
    <x:row r="2" ht="15.75" hidden="0" customHeight="1">
      <x:c r="A2" s="2" t="str">
        <x:v>Canonical entity → platform surfaces · the neutrality layer</x:v>
      </x:c>
      <x:c r="B2"/>
      <x:c r="C2"/>
      <x:c r="D2"/>
      <x:c r="E2"/>
      <x:c r="F2"/>
    </x:row>
    <x:row r="3" ht="13.5" hidden="0" customHeight="1">
      <x:c r="A3" s="3" t="str">
        <x:v>Check logic binds to the canonical column only. Adding Magento 2 / WooCommerce later = adding a mapping column, not rewriting checks. ERP column is intentionally generic (CSV/API-agnostic).</x:v>
      </x:c>
      <x:c r="B3"/>
      <x:c r="C3"/>
      <x:c r="D3"/>
      <x:c r="E3"/>
      <x:c r="F3"/>
    </x:row>
    <x:row r="4" ht="13.5" hidden="0" customHeight="1">
      <x:c r="A4" s="4" t="str">
        <x:v>Klints · Internal / Partner (Rohan — Astrapse Labs) · Prepared by: George Sefler · Date: 18 July 2026 · Version: v1.4.1 · Incorporates Fable 5 verification fixes</x:v>
      </x:c>
      <x:c r="B4"/>
      <x:c r="C4"/>
      <x:c r="D4"/>
      <x:c r="E4"/>
      <x:c r="F4"/>
    </x:row>
    <x:row r="5" ht="30" hidden="0" customHeight="1">
      <x:c r="A5" s="9" t="str">
        <x:v>Domain</x:v>
      </x:c>
      <x:c r="B5" s="9" t="str">
        <x:v>Canonical field (klints model)</x:v>
      </x:c>
      <x:c r="C5" s="9" t="str">
        <x:v>Manago surface</x:v>
      </x:c>
      <x:c r="D5" s="9" t="str">
        <x:v>Shopify surface</x:v>
      </x:c>
      <x:c r="E5" s="9" t="str">
        <x:v>ERP surface (generic)</x:v>
      </x:c>
      <x:c r="F5" s="9" t="str">
        <x:v>Governing rule / check</x:v>
      </x:c>
    </x:row>
    <x:row r="6" ht="15" hidden="0" customHeight="1">
      <x:c r="A6" s="5" t="str">
        <x:v>Identity</x:v>
      </x:c>
      <x:c r="B6" s="6"/>
      <x:c r="C6" s="6"/>
      <x:c r="D6" s="6"/>
      <x:c r="E6" s="6"/>
      <x:c r="F6" s="6"/>
    </x:row>
    <x:row r="7" ht="25.5" hidden="0" customHeight="1">
      <x:c r="A7" s="8" t="str">
        <x:v>Identity</x:v>
      </x:c>
      <x:c r="B7" s="32" t="str">
        <x:v>person.email (primary)</x:v>
      </x:c>
      <x:c r="C7" s="8" t="str">
        <x:v>contact email (primary key)</x:v>
      </x:c>
      <x:c r="D7" s="8" t="str">
        <x:v>customers.email</x:v>
      </x:c>
      <x:c r="E7" s="8" t="str">
        <x:v>customer email</x:v>
      </x:c>
      <x:c r="F7" s="8" t="str">
        <x:v>Normalised lowercase; primary join key of last resort.</x:v>
      </x:c>
    </x:row>
    <x:row r="8" ht="25.5" hidden="0" customHeight="1">
      <x:c r="A8" s="16" t="str">
        <x:v>Identity</x:v>
      </x:c>
      <x:c r="B8" s="33" t="str">
        <x:v>person.external_key</x:v>
      </x:c>
      <x:c r="C8" s="16" t="str">
        <x:v>contact externalId</x:v>
      </x:c>
      <x:c r="D8" s="16" t="str">
        <x:v>customers.id</x:v>
      </x:c>
      <x:c r="E8" s="16" t="str">
        <x:v>ERP customer number</x:v>
      </x:c>
      <x:c r="F8" s="16" t="str">
        <x:v>Preferred join spine (CI-05); bijective.</x:v>
      </x:c>
    </x:row>
    <x:row r="9" ht="25.5" hidden="0" customHeight="1">
      <x:c r="A9" s="8" t="str">
        <x:v>Identity</x:v>
      </x:c>
      <x:c r="B9" s="32" t="str">
        <x:v>person.phone</x:v>
      </x:c>
      <x:c r="C9" s="8" t="str">
        <x:v>contact phone</x:v>
      </x:c>
      <x:c r="D9" s="8" t="str">
        <x:v>customers.phone</x:v>
      </x:c>
      <x:c r="E9" s="8" t="str">
        <x:v>customer phone</x:v>
      </x:c>
      <x:c r="F9" s="8" t="str">
        <x:v>E.164 canonical form.</x:v>
      </x:c>
    </x:row>
    <x:row r="10" ht="25.5" hidden="0" customHeight="1">
      <x:c r="A10" s="16" t="str">
        <x:v>Identity</x:v>
      </x:c>
      <x:c r="B10" s="33" t="str">
        <x:v>person.name</x:v>
      </x:c>
      <x:c r="C10" s="16" t="str">
        <x:v>contact name</x:v>
      </x:c>
      <x:c r="D10" s="16" t="str">
        <x:v>first_name + last_name</x:v>
      </x:c>
      <x:c r="E10" s="16" t="str">
        <x:v>customer name</x:v>
      </x:c>
      <x:c r="F10" s="16" t="str">
        <x:v>Casing normalised; placeholders blanked.</x:v>
      </x:c>
    </x:row>
    <x:row r="11" ht="25.5" hidden="0" customHeight="1">
      <x:c r="A11" s="8" t="str">
        <x:v>Identity</x:v>
      </x:c>
      <x:c r="B11" s="32" t="str">
        <x:v>person.address.country</x:v>
      </x:c>
      <x:c r="C11" s="8" t="str">
        <x:v>contact address (country)</x:v>
      </x:c>
      <x:c r="D11" s="8" t="str">
        <x:v>default_address.country_code</x:v>
      </x:c>
      <x:c r="E11" s="8" t="str">
        <x:v>customer master country</x:v>
      </x:c>
      <x:c r="F11" s="8" t="str">
        <x:v>ISO-3166 alpha-2; precedence ERP &gt; commerce &gt; MA.</x:v>
      </x:c>
    </x:row>
    <x:row r="12" ht="25.5" hidden="0" customHeight="1">
      <x:c r="A12" s="16" t="str">
        <x:v>Identity</x:v>
      </x:c>
      <x:c r="B12" s="33" t="str">
        <x:v>person.birthday</x:v>
      </x:c>
      <x:c r="C12" s="16" t="str">
        <x:v>contact birthday</x:v>
      </x:c>
      <x:c r="D12" s="16" t="str">
        <x:v>metafield (if used)</x:v>
      </x:c>
      <x:c r="E12" s="16" t="str">
        <x:v>—</x:v>
      </x:c>
      <x:c r="F12" s="16" t="str">
        <x:v>Plausibility 13–100y; epoch artifacts blanked.</x:v>
      </x:c>
    </x:row>
    <x:row r="13" ht="25.5" hidden="0" customHeight="1">
      <x:c r="A13" s="8" t="str">
        <x:v>Identity</x:v>
      </x:c>
      <x:c r="B13" s="32" t="str">
        <x:v>person.created_at / modified</x:v>
      </x:c>
      <x:c r="C13" s="8" t="str">
        <x:v>createdOn / modifiedOn</x:v>
      </x:c>
      <x:c r="D13" s="8" t="str">
        <x:v>customers.created_at / updated_at</x:v>
      </x:c>
      <x:c r="E13" s="8" t="str">
        <x:v>record dates</x:v>
      </x:c>
      <x:c r="F13" s="8" t="str">
        <x:v>Freshness inputs (CI-15).</x:v>
      </x:c>
    </x:row>
    <x:row r="14" ht="15" hidden="0" customHeight="1">
      <x:c r="A14" s="5" t="str">
        <x:v>Transaction</x:v>
      </x:c>
      <x:c r="B14" s="6"/>
      <x:c r="C14" s="6"/>
      <x:c r="D14" s="6"/>
      <x:c r="E14" s="6"/>
      <x:c r="F14" s="6"/>
    </x:row>
    <x:row r="15" ht="25.5" hidden="0" customHeight="1">
      <x:c r="A15" s="8" t="str">
        <x:v>Transaction</x:v>
      </x:c>
      <x:c r="B15" s="32" t="str">
        <x:v>order.id</x:v>
      </x:c>
      <x:c r="C15" s="8" t="str">
        <x:v>event externalId</x:v>
      </x:c>
      <x:c r="D15" s="8" t="str">
        <x:v>orders.id / order_number</x:v>
      </x:c>
      <x:c r="E15" s="8" t="str">
        <x:v>ERP order/document no.</x:v>
      </x:c>
      <x:c r="F15" s="8" t="str">
        <x:v>The reconciliation key (LE-03).</x:v>
      </x:c>
    </x:row>
    <x:row r="16" ht="25.5" hidden="0" customHeight="1">
      <x:c r="A16" s="16" t="str">
        <x:v>Transaction</x:v>
      </x:c>
      <x:c r="B16" s="33" t="str">
        <x:v>order.purchase_event</x:v>
      </x:c>
      <x:c r="C16" s="16" t="str">
        <x:v>External Event PURCHASE</x:v>
      </x:c>
      <x:c r="D16" s="16" t="str">
        <x:v>orders (paid, non-test)</x:v>
      </x:c>
      <x:c r="E16" s="16" t="str">
        <x:v>ERP sales document</x:v>
      </x:c>
      <x:c r="F16" s="16" t="str">
        <x:v>1:1 order↔event contract (LE-01/05).</x:v>
      </x:c>
    </x:row>
    <x:row r="17" ht="25.5" hidden="0" customHeight="1">
      <x:c r="A17" s="8" t="str">
        <x:v>Transaction</x:v>
      </x:c>
      <x:c r="B17" s="32" t="str">
        <x:v>order.value_net</x:v>
      </x:c>
      <x:c r="C17" s="8" t="str">
        <x:v>event value</x:v>
      </x:c>
      <x:c r="D17" s="8" t="str">
        <x:v>total_price / subtotal (rule PT-08)</x:v>
      </x:c>
      <x:c r="E17" s="8" t="str">
        <x:v>document net value</x:v>
      </x:c>
      <x:c r="F17" s="8" t="str">
        <x:v>One documented composition rule; base currency (PT-07).</x:v>
      </x:c>
    </x:row>
    <x:row r="18" ht="25.5" hidden="0" customHeight="1">
      <x:c r="A18" s="16" t="str">
        <x:v>Transaction</x:v>
      </x:c>
      <x:c r="B18" s="33" t="str">
        <x:v>order.return_event</x:v>
      </x:c>
      <x:c r="C18" s="16" t="str">
        <x:v>External Event RETURN / CANCELLATION</x:v>
      </x:c>
      <x:c r="D18" s="16" t="str">
        <x:v>refunds / cancelled_at</x:v>
      </x:c>
      <x:c r="E18" s="16" t="str">
        <x:v>credit notes</x:v>
      </x:c>
      <x:c r="F18" s="16" t="str">
        <x:v>The LE-09 pipe; value = refund amount.</x:v>
      </x:c>
    </x:row>
    <x:row r="19" ht="25.5" hidden="0" customHeight="1">
      <x:c r="A19" s="8" t="str">
        <x:v>Transaction</x:v>
      </x:c>
      <x:c r="B19" s="32" t="str">
        <x:v>cart.event</x:v>
      </x:c>
      <x:c r="C19" s="8" t="str">
        <x:v>External Event CART (eventId reused)</x:v>
      </x:c>
      <x:c r="D19" s="8" t="str">
        <x:v>checkouts (abandoned)</x:v>
      </x:c>
      <x:c r="E19" s="8" t="str">
        <x:v>—</x:v>
      </x:c>
      <x:c r="F19" s="8" t="str">
        <x:v>Updated on completion; update ≠ upsert (resend all fields).</x:v>
      </x:c>
    </x:row>
    <x:row r="20" ht="25.5" hidden="0" customHeight="1">
      <x:c r="A20" s="16" t="str">
        <x:v>Transaction</x:v>
      </x:c>
      <x:c r="B20" s="33" t="str">
        <x:v>contact.net_ltv</x:v>
      </x:c>
      <x:c r="C20" s="16" t="str">
        <x:v>klints_net_ltv detail (governed)</x:v>
      </x:c>
      <x:c r="D20" s="16" t="str">
        <x:v>computed: orders − refunds</x:v>
      </x:c>
      <x:c r="E20" s="16" t="str">
        <x:v>credit-note-adjusted</x:v>
      </x:c>
      <x:c r="F20" s="16" t="str">
        <x:v>Klints-governed value; workflows point here (PT-04).</x:v>
      </x:c>
    </x:row>
    <x:row r="21" ht="15" hidden="0" customHeight="1">
      <x:c r="A21" s="5" t="str">
        <x:v>Product</x:v>
      </x:c>
      <x:c r="B21" s="6"/>
      <x:c r="C21" s="6"/>
      <x:c r="D21" s="6"/>
      <x:c r="E21" s="6"/>
      <x:c r="F21" s="6"/>
    </x:row>
    <x:row r="22" ht="25.5" hidden="0" customHeight="1">
      <x:c r="A22" s="16" t="str">
        <x:v>Product</x:v>
      </x:c>
      <x:c r="B22" s="33" t="str">
        <x:v>product.key</x:v>
      </x:c>
      <x:c r="C22" s="16" t="str">
        <x:v>catalog productId (convention PT-09)</x:v>
      </x:c>
      <x:c r="D22" s="16" t="str">
        <x:v>variants.id (recommended) / products.id</x:v>
      </x:c>
      <x:c r="E22" s="16" t="str">
        <x:v>ERP item number</x:v>
      </x:c>
      <x:c r="F22" s="16" t="str">
        <x:v>One convention; rollup in canonical model.</x:v>
      </x:c>
    </x:row>
    <x:row r="23" ht="25.5" hidden="0" customHeight="1">
      <x:c r="A23" s="8" t="str">
        <x:v>Product</x:v>
      </x:c>
      <x:c r="B23" s="32" t="str">
        <x:v>product.store_scope</x:v>
      </x:c>
      <x:c r="C23" s="8" t="str">
        <x:v>location (charset rules)</x:v>
      </x:c>
      <x:c r="D23" s="8" t="str">
        <x:v>store domain</x:v>
      </x:c>
      <x:c r="E23" s="8" t="str">
        <x:v>—</x:v>
      </x:c>
      <x:c r="F23" s="8" t="str">
        <x:v>Registry-driven (FD-06, PT-02).</x:v>
      </x:c>
    </x:row>
    <x:row r="24" ht="25.5" hidden="0" customHeight="1">
      <x:c r="A24" s="16" t="str">
        <x:v>Product</x:v>
      </x:c>
      <x:c r="B24" s="33" t="str">
        <x:v>product.price</x:v>
      </x:c>
      <x:c r="C24" s="16" t="str">
        <x:v>catalog price / discountPrice</x:v>
      </x:c>
      <x:c r="D24" s="16" t="str">
        <x:v>variants.price / compare_at_price</x:v>
      </x:c>
      <x:c r="E24" s="16" t="str">
        <x:v>ERP price list</x:v>
      </x:c>
      <x:c r="F24" s="16" t="str">
        <x:v>updatePrice pipe; parity PT-05 / BR-08.</x:v>
      </x:c>
    </x:row>
    <x:row r="25" ht="25.5" hidden="0" customHeight="1">
      <x:c r="A25" s="8" t="str">
        <x:v>Product</x:v>
      </x:c>
      <x:c r="B25" s="32" t="str">
        <x:v>product.stock_sellable</x:v>
      </x:c>
      <x:c r="C25" s="8" t="str">
        <x:v>catalog quantity</x:v>
      </x:c>
      <x:c r="D25" s="8" t="str">
        <x:v>inventory_levels.available</x:v>
      </x:c>
      <x:c r="E25" s="8" t="str">
        <x:v>per-warehouse stock</x:v>
      </x:c>
      <x:c r="F25" s="8" t="str">
        <x:v>Sellable-locations rule BR-10; freshness SLA BR-02.</x:v>
      </x:c>
    </x:row>
    <x:row r="26" ht="25.5" hidden="0" customHeight="1">
      <x:c r="A26" s="16" t="str">
        <x:v>Product</x:v>
      </x:c>
      <x:c r="B26" s="33" t="str">
        <x:v>product.margin</x:v>
      </x:c>
      <x:c r="C26" s="16" t="str">
        <x:v>catalog margin field</x:v>
      </x:c>
      <x:c r="D26" s="16" t="str">
        <x:v>— (not native)</x:v>
      </x:c>
      <x:c r="E26" s="16" t="str">
        <x:v>ERP cost/margin</x:v>
      </x:c>
      <x:c r="F26" s="16" t="str">
        <x:v>BR-01 feed; margin-unknown excluded by rule.</x:v>
      </x:c>
    </x:row>
    <x:row r="27" ht="25.5" hidden="0" customHeight="1">
      <x:c r="A27" s="8" t="str">
        <x:v>Product</x:v>
      </x:c>
      <x:c r="B27" s="32" t="str">
        <x:v>product.lifecycle_status</x:v>
      </x:c>
      <x:c r="C27" s="8" t="str">
        <x:v>availability flags</x:v>
      </x:c>
      <x:c r="D27" s="8" t="str">
        <x:v>products.status</x:v>
      </x:c>
      <x:c r="E27" s="8" t="str">
        <x:v>ERP item status</x:v>
      </x:c>
      <x:c r="F27" s="8" t="str">
        <x:v>ERP wins (BR-04).</x:v>
      </x:c>
    </x:row>
    <x:row r="28" ht="25.5" hidden="0" customHeight="1">
      <x:c r="A28" s="16" t="str">
        <x:v>Product</x:v>
      </x:c>
      <x:c r="B28" s="33" t="str">
        <x:v>product.attributes</x:v>
      </x:c>
      <x:c r="C28" s="16" t="str">
        <x:v>catalog category/brand/image/url</x:v>
      </x:c>
      <x:c r="D28" s="16" t="str">
        <x:v>product_type, vendor, images, handle</x:v>
      </x:c>
      <x:c r="E28" s="16" t="str">
        <x:v>item attributes</x:v>
      </x:c>
      <x:c r="F28" s="16" t="str">
        <x:v>Minimum attribute contract (PT-11).</x:v>
      </x:c>
    </x:row>
    <x:row r="29" ht="15" hidden="0" customHeight="1">
      <x:c r="A29" s="5" t="str">
        <x:v>Consent</x:v>
      </x:c>
      <x:c r="B29" s="6"/>
      <x:c r="C29" s="6"/>
      <x:c r="D29" s="6"/>
      <x:c r="E29" s="6"/>
      <x:c r="F29" s="6"/>
    </x:row>
    <x:row r="30" ht="25.5" hidden="0" customHeight="1">
      <x:c r="A30" s="16" t="str">
        <x:v>Consent</x:v>
      </x:c>
      <x:c r="B30" s="33" t="str">
        <x:v>consent.email</x:v>
      </x:c>
      <x:c r="C30" s="16" t="str">
        <x:v>email marketing status + reason/source</x:v>
      </x:c>
      <x:c r="D30" s="16" t="str">
        <x:v>email_marketing_consent (state, level, updated_at)</x:v>
      </x:c>
      <x:c r="E30" s="16" t="str">
        <x:v>—</x:v>
      </x:c>
      <x:c r="F30" s="16" t="str">
        <x:v>Quadrant parity CC-01; opt-outs propagate everywhere.</x:v>
      </x:c>
    </x:row>
    <x:row r="31" ht="25.5" hidden="0" customHeight="1">
      <x:c r="A31" s="8" t="str">
        <x:v>Consent</x:v>
      </x:c>
      <x:c r="B31" s="32" t="str">
        <x:v>consent.sms</x:v>
      </x:c>
      <x:c r="C31" s="8" t="str">
        <x:v>mobile marketing status</x:v>
      </x:c>
      <x:c r="D31" s="8" t="str">
        <x:v>sms_marketing_consent</x:v>
      </x:c>
      <x:c r="E31" s="8" t="str">
        <x:v>—</x:v>
      </x:c>
      <x:c r="F31" s="8" t="str">
        <x:v>CC-02; joint check with phone validity.</x:v>
      </x:c>
    </x:row>
    <x:row r="32" ht="25.5" hidden="0" customHeight="1">
      <x:c r="A32" s="16" t="str">
        <x:v>Consent</x:v>
      </x:c>
      <x:c r="B32" s="33" t="str">
        <x:v>consent.custom[]</x:v>
      </x:c>
      <x:c r="C32" s="16" t="str">
        <x:v>custom consents (3 states)</x:v>
      </x:c>
      <x:c r="D32" s="16" t="str">
        <x:v>checkout/preference capture points</x:v>
      </x:c>
      <x:c r="E32" s="16" t="str">
        <x:v>—</x:v>
      </x:c>
      <x:c r="F32" s="16" t="str">
        <x:v>Capture wiring CC-04.</x:v>
      </x:c>
    </x:row>
    <x:row r="33" ht="25.5" hidden="0" customHeight="1">
      <x:c r="A33" s="8" t="str">
        <x:v>Consent</x:v>
      </x:c>
      <x:c r="B33" s="32" t="str">
        <x:v>consent.erasure</x:v>
      </x:c>
      <x:c r="C33" s="8" t="str">
        <x:v>deletion callbacks</x:v>
      </x:c>
      <x:c r="D33" s="8" t="str">
        <x:v>customers/redact webhooks</x:v>
      </x:c>
      <x:c r="E33" s="8" t="str">
        <x:v>anonymisation log</x:v>
      </x:c>
      <x:c r="F33" s="8" t="str">
        <x:v>Tombstone chain CC-11; hashed tombstones only in Klints.</x:v>
      </x:c>
    </x:row>
    <x:row r="34" ht="15" hidden="0" customHeight="1">
      <x:c r="A34" s="5" t="str">
        <x:v>Properties</x:v>
      </x:c>
      <x:c r="B34" s="6"/>
      <x:c r="C34" s="6"/>
      <x:c r="D34" s="6"/>
      <x:c r="E34" s="6"/>
      <x:c r="F34" s="6"/>
    </x:row>
    <x:row r="35" ht="25.5" hidden="0" customHeight="1">
      <x:c r="A35" s="8" t="str">
        <x:v>Properties</x:v>
      </x:c>
      <x:c r="B35" s="32" t="str">
        <x:v>person.tags[]</x:v>
      </x:c>
      <x:c r="C35" s="8" t="str">
        <x:v>tags (klints: namespace for Klints writes)</x:v>
      </x:c>
      <x:c r="D35" s="8" t="str">
        <x:v>customers.tags (source, SP-13)</x:v>
      </x:c>
      <x:c r="E35" s="8" t="str">
        <x:v>—</x:v>
      </x:c>
      <x:c r="F35" s="8" t="str">
        <x:v>Canonical tag map (SP-01); namespace gate SP-07.</x:v>
      </x:c>
    </x:row>
    <x:row r="36" ht="25.5" hidden="0" customHeight="1">
      <x:c r="A36" s="16" t="str">
        <x:v>Properties</x:v>
      </x:c>
      <x:c r="B36" s="33" t="str">
        <x:v>person.details{}</x:v>
      </x:c>
      <x:c r="C36" s="16" t="str">
        <x:v>standard + dictionary details; date. prefix</x:v>
      </x:c>
      <x:c r="D36" s="16" t="str">
        <x:v>metafields / note_attributes</x:v>
      </x:c>
      <x:c r="E36" s="16" t="str">
        <x:v>mapped subset</x:v>
      </x:c>
      <x:c r="F36" s="16" t="str">
        <x:v>Per-key format contract (SP-03/04/05).</x:v>
      </x:c>
    </x:row>
    <x:row r="37" ht="25.5" hidden="0" customHeight="1">
      <x:c r="A37" s="8" t="str">
        <x:v>Properties</x:v>
      </x:c>
      <x:c r="B37" s="32" t="str">
        <x:v>person.preferences</x:v>
      </x:c>
      <x:c r="C37" s="8" t="str">
        <x:v>Key Information (v3)</x:v>
      </x:c>
      <x:c r="D37" s="8" t="str">
        <x:v>—</x:v>
      </x:c>
      <x:c r="E37" s="8" t="str">
        <x:v>—</x:v>
      </x:c>
      <x:c r="F37" s="8" t="str">
        <x:v>Zero-party layer; coverage SP-06.</x:v>
      </x:c>
    </x:row>
    <x:row r="38" ht="15" hidden="0" customHeight="1">
      <x:c r="A38" s="5" t="str">
        <x:v>Behavioural</x:v>
      </x:c>
      <x:c r="B38" s="6"/>
      <x:c r="C38" s="6"/>
      <x:c r="D38" s="6"/>
      <x:c r="E38" s="6"/>
      <x:c r="F38" s="6"/>
    </x:row>
    <x:row r="39" ht="25.5" hidden="0" customHeight="1">
      <x:c r="A39" s="8" t="str">
        <x:v>Behavioural</x:v>
      </x:c>
      <x:c r="B39" s="32" t="str">
        <x:v>person.visits[]</x:v>
      </x:c>
      <x:c r="C39" s="8" t="str">
        <x:v>visit history (URL/UTM/scoring)</x:v>
      </x:c>
      <x:c r="D39" s="8" t="str">
        <x:v>storefront via monitoring code</x:v>
      </x:c>
      <x:c r="E39" s="8" t="str">
        <x:v>—</x:v>
      </x:c>
      <x:c r="F39" s="8" t="str">
        <x:v>FD-07 gate; match rate CI-14.</x:v>
      </x:c>
    </x:row>
    <x:row r="40" ht="25.5" hidden="0" customHeight="1">
      <x:c r="A40" s="16" t="str">
        <x:v>Behavioural</x:v>
      </x:c>
      <x:c r="B40" s="33" t="str">
        <x:v>person.engagement</x:v>
      </x:c>
      <x:c r="C40" s="16" t="str">
        <x:v>sent messages history + channel stats</x:v>
      </x:c>
      <x:c r="D40" s="16" t="str">
        <x:v>—</x:v>
      </x:c>
      <x:c r="E40" s="16" t="str">
        <x:v>—</x:v>
      </x:c>
      <x:c r="F40" s="16" t="str">
        <x:v>Telemetry coverage ME-04.</x:v>
      </x:c>
    </x:row>
    <x:row r="41" ht="15" hidden="0" customHeight="1">
      <x:c r="A41" s="5" t="str">
        <x:v>ERP truth</x:v>
      </x:c>
      <x:c r="B41" s="6"/>
      <x:c r="C41" s="6"/>
      <x:c r="D41" s="6"/>
      <x:c r="E41" s="6"/>
      <x:c r="F41" s="6"/>
    </x:row>
    <x:row r="42" ht="25.5" hidden="0" customHeight="1">
      <x:c r="A42" s="16" t="str">
        <x:v>ERP truth</x:v>
      </x:c>
      <x:c r="B42" s="33" t="str">
        <x:v>customer.commercial_status</x:v>
      </x:c>
      <x:c r="C42" s="16" t="str">
        <x:v>klints_ status details (governed)</x:v>
      </x:c>
      <x:c r="D42" s="16" t="str">
        <x:v>—</x:v>
      </x:c>
      <x:c r="E42" s="16" t="str">
        <x:v>credit block / returner / B2B flags</x:v>
      </x:c>
      <x:c r="F42" s="16" t="str">
        <x:v>Guards for VIP/winback (BR-05).</x:v>
      </x:c>
    </x:row>
    <x:row r="43" ht="25.5" hidden="0" customHeight="1">
      <x:c r="A43" s="8" t="str">
        <x:v>ERP truth</x:v>
      </x:c>
      <x:c r="B43" s="32" t="str">
        <x:v>order.fulfilment</x:v>
      </x:c>
      <x:c r="C43" s="8" t="str">
        <x:v>— (informs flow timing)</x:v>
      </x:c>
      <x:c r="D43" s="8" t="str">
        <x:v>fulfillment_status / fulfillments</x:v>
      </x:c>
      <x:c r="E43" s="8" t="str">
        <x:v>dispatch/delivery status</x:v>
      </x:c>
      <x:c r="F43" s="8" t="str">
        <x:v>Authoritative source per tenant (BR-06).</x:v>
      </x:c>
    </x:row>
    <x:row r="44" ht="15" hidden="0" customHeight="1">
      <x:c r="A44" s="5" t="str">
        <x:v>Measurement</x:v>
      </x:c>
      <x:c r="B44" s="6"/>
      <x:c r="C44" s="6"/>
      <x:c r="D44" s="6"/>
      <x:c r="E44" s="6"/>
      <x:c r="F44" s="6"/>
    </x:row>
    <x:row r="45" ht="25.5" hidden="0" customHeight="1">
      <x:c r="A45" s="8" t="str">
        <x:v>Measurement</x:v>
      </x:c>
      <x:c r="B45" s="32" t="str">
        <x:v>traffic.utm</x:v>
      </x:c>
      <x:c r="C45" s="8" t="str">
        <x:v>visit UTM fields</x:v>
      </x:c>
      <x:c r="D45" s="8" t="str">
        <x:v>landing URLs</x:v>
      </x:c>
      <x:c r="E45" s="8" t="str">
        <x:v>—</x:v>
      </x:c>
      <x:c r="F45" s="8" t="str">
        <x:v>Canonical UTM vocabulary (ME-01).</x:v>
      </x:c>
    </x:row>
    <x:row r="46" ht="25.5" hidden="0" customHeight="1">
      <x:c r="A46" s="16" t="str">
        <x:v>Measurement</x:v>
      </x:c>
      <x:c r="B46" s="33" t="str">
        <x:v>conversion.attribution</x:v>
      </x:c>
      <x:c r="C46" s="16" t="str">
        <x:v>workflow conversion linkage</x:v>
      </x:c>
      <x:c r="D46" s="16" t="str">
        <x:v>orders (denominator)</x:v>
      </x:c>
      <x:c r="E46" s="16" t="str">
        <x:v>—</x:v>
      </x:c>
      <x:c r="F46" s="16" t="str">
        <x:v>Dedup precedence rule (ME-05); wiring ME-02.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70" hidden="0" customWidth="1"/>
    <x:col min="4" max="4" width="56" hidden="0" customWidth="1"/>
    <x:col min="5" max="5" width="36" hidden="0" customWidth="1"/>
  </x:cols>
  <x:sheetData>
    <x:row r="1" ht="34" customHeight="1">
      <x:c r="A1" s="36" t="str">
        <x:v>DCS Scoring Model</x:v>
      </x:c>
      <x:c r="B1" s="36"/>
      <x:c r="C1" s="36"/>
      <x:c r="D1" s="36"/>
      <x:c r="E1" s="36"/>
    </x:row>
    <x:row r="2" ht="30" customHeight="1">
      <x:c r="A2" s="39" t="str">
        <x:v>Authoritative 0–100 scoring contract; gates, coverage and confidence are separate signals</x:v>
      </x:c>
      <x:c r="B2" s="39"/>
      <x:c r="C2" s="39"/>
      <x:c r="D2" s="39"/>
      <x:c r="E2" s="39"/>
    </x:row>
    <x:row r="3" ht="26" customHeight="1">
      <x:c r="A3" s="42" t="str">
        <x:v>Klints · MVP1 build contract · v1.4.1 · 18 July 2026</x:v>
      </x:c>
      <x:c r="B3" s="42"/>
      <x:c r="C3" s="42"/>
      <x:c r="D3" s="42"/>
      <x:c r="E3" s="42"/>
    </x:row>
    <x:row r="4">
      <x:c r="A4"/>
      <x:c r="B4"/>
      <x:c r="C4"/>
      <x:c r="D4"/>
      <x:c r="E4"/>
    </x:row>
    <x:row r="5" ht="32" customHeight="1">
      <x:c r="A5" s="51" t="str">
        <x:v>Dimension</x:v>
      </x:c>
      <x:c r="B5" s="74" t="str">
        <x:v>Headline Weight %</x:v>
      </x:c>
      <x:c r="C5" s="52" t="str">
        <x:v>Required</x:v>
      </x:c>
      <x:c r="D5" s="52" t="str">
        <x:v>Purpose</x:v>
      </x:c>
      <x:c r="E5" s="53" t="str">
        <x:v>Rule</x:v>
      </x:c>
    </x:row>
    <x:row r="6">
      <x:c r="A6" s="68" t="str">
        <x:v>01 Customer Identity</x:v>
      </x:c>
      <x:c r="B6" s="75" t="n">
        <x:v>18</x:v>
      </x:c>
      <x:c r="C6" s="69" t="b">
        <x:v>1</x:v>
      </x:c>
      <x:c r="D6" s="68" t="str">
        <x:v>Identity match, duplicates, customer-universe integrity</x:v>
      </x:c>
      <x:c r="E6" s="68" t="str">
        <x:v>Must reach ≥80% coverage</x:v>
      </x:c>
    </x:row>
    <x:row r="7">
      <x:c r="A7" s="70" t="str">
        <x:v>02 Lifecycle Event</x:v>
      </x:c>
      <x:c r="B7" s="76" t="n">
        <x:v>18</x:v>
      </x:c>
      <x:c r="C7" s="71" t="b">
        <x:v>1</x:v>
      </x:c>
      <x:c r="D7" s="70" t="str">
        <x:v>Purchase/cart/return completeness and timeliness</x:v>
      </x:c>
      <x:c r="E7" s="70" t="str">
        <x:v>Must reach ≥80% coverage</x:v>
      </x:c>
    </x:row>
    <x:row r="8">
      <x:c r="A8" s="70" t="str">
        <x:v>03 Product &amp; Transaction</x:v>
      </x:c>
      <x:c r="B8" s="76" t="n">
        <x:v>14</x:v>
      </x:c>
      <x:c r="C8" s="71" t="b">
        <x:v>1</x:v>
      </x:c>
      <x:c r="D8" s="70" t="str">
        <x:v>Product resolution and transaction truth</x:v>
      </x:c>
      <x:c r="E8" s="70" t="str">
        <x:v>Must reach ≥80% coverage</x:v>
      </x:c>
    </x:row>
    <x:row r="9">
      <x:c r="A9" s="70" t="str">
        <x:v>04 Segment &amp; Property</x:v>
      </x:c>
      <x:c r="B9" s="76" t="n">
        <x:v>12</x:v>
      </x:c>
      <x:c r="C9" s="71" t="b">
        <x:v>1</x:v>
      </x:c>
      <x:c r="D9" s="70" t="str">
        <x:v>Decision-field schema, namespace and population sanity</x:v>
      </x:c>
      <x:c r="E9" s="70" t="str">
        <x:v>Must reach ≥80% coverage</x:v>
      </x:c>
    </x:row>
    <x:row r="10">
      <x:c r="A10" s="70" t="str">
        <x:v>05 Channel &amp; Consent</x:v>
      </x:c>
      <x:c r="B10" s="76" t="n">
        <x:v>18</x:v>
      </x:c>
      <x:c r="C10" s="71" t="b">
        <x:v>1</x:v>
      </x:c>
      <x:c r="D10" s="70" t="str">
        <x:v>Consent truth and propagation</x:v>
      </x:c>
      <x:c r="E10" s="70" t="str">
        <x:v>Must reach ≥80% coverage</x:v>
      </x:c>
    </x:row>
    <x:row r="11">
      <x:c r="A11" s="70" t="str">
        <x:v>06 Measurement</x:v>
      </x:c>
      <x:c r="B11" s="76" t="n">
        <x:v>10</x:v>
      </x:c>
      <x:c r="C11" s="71" t="b">
        <x:v>1</x:v>
      </x:c>
      <x:c r="D11" s="70" t="str">
        <x:v>Attribution and baseline computability</x:v>
      </x:c>
      <x:c r="E11" s="70" t="str">
        <x:v>Must reach ≥80% coverage</x:v>
      </x:c>
    </x:row>
    <x:row r="12">
      <x:c r="A12" s="72" t="str">
        <x:v>07 Business Reality</x:v>
      </x:c>
      <x:c r="B12" s="72" t="n">
        <x:v>90</x:v>
      </x:c>
      <x:c r="C12" s="73" t="b">
        <x:v>0</x:v>
      </x:c>
      <x:c r="D12" s="72" t="str">
        <x:v>ERP margin/inventory truth; optional only when ERP is formally out of scope</x:v>
      </x:c>
      <x:c r="E12" s="72" t="str">
        <x:v>May be NOT_CONNECTED only by declared tenant scope</x:v>
      </x:c>
    </x:row>
    <x:row r="13">
      <x:c r="A13"/>
      <x:c r="B13"/>
      <x:c r="C13"/>
      <x:c r="D13"/>
      <x:c r="E13"/>
    </x:row>
    <x:row r="14">
      <x:c r="A14"/>
      <x:c r="B14"/>
      <x:c r="C14"/>
      <x:c r="D14"/>
      <x:c r="E14"/>
    </x:row>
    <x:row r="15" ht="32" customHeight="1">
      <x:c r="A15" s="51" t="str">
        <x:v>Result status</x:v>
      </x:c>
      <x:c r="B15" s="52" t="str">
        <x:v>Score factor</x:v>
      </x:c>
      <x:c r="C15" s="53" t="str">
        <x:v>Meaning</x:v>
      </x:c>
      <x:c r="D15"/>
      <x:c r="E15"/>
    </x:row>
    <x:row r="16">
      <x:c r="A16" s="68" t="str">
        <x:v>PASS</x:v>
      </x:c>
      <x:c r="B16" s="68" t="n">
        <x:v>1</x:v>
      </x:c>
      <x:c r="C16" s="68" t="str">
        <x:v>Evaluated and meets threshold</x:v>
      </x:c>
      <x:c r="D16"/>
      <x:c r="E16"/>
    </x:row>
    <x:row r="17">
      <x:c r="A17" s="70" t="str">
        <x:v>WARN</x:v>
      </x:c>
      <x:c r="B17" s="70" t="n">
        <x:v>0.5</x:v>
      </x:c>
      <x:c r="C17" s="70" t="str">
        <x:v>Evaluated; partial degradation</x:v>
      </x:c>
      <x:c r="D17"/>
      <x:c r="E17"/>
    </x:row>
    <x:row r="18">
      <x:c r="A18" s="70" t="str">
        <x:v>FAIL</x:v>
      </x:c>
      <x:c r="B18" s="70" t="n">
        <x:v>0</x:v>
      </x:c>
      <x:c r="C18" s="70" t="str">
        <x:v>Evaluated and fails threshold</x:v>
      </x:c>
      <x:c r="D18"/>
      <x:c r="E18"/>
    </x:row>
    <x:row r="19">
      <x:c r="A19" s="70" t="str">
        <x:v>NOT_APPLICABLE</x:v>
      </x:c>
      <x:c r="B19" s="70"/>
      <x:c r="C19" s="70" t="str">
        <x:v>Excluded from denominator with reason</x:v>
      </x:c>
      <x:c r="D19"/>
      <x:c r="E19"/>
    </x:row>
    <x:row r="20">
      <x:c r="A20" s="70" t="str">
        <x:v>NOT_CONNECTED</x:v>
      </x:c>
      <x:c r="B20" s="70"/>
      <x:c r="C20" s="70" t="str">
        <x:v>Excluded only for formally out-of-scope optional dimension</x:v>
      </x:c>
      <x:c r="D20"/>
      <x:c r="E20"/>
    </x:row>
    <x:row r="21">
      <x:c r="A21" s="72" t="str">
        <x:v>UNKNOWN</x:v>
      </x:c>
      <x:c r="B21" s="72"/>
      <x:c r="C21" s="72" t="str">
        <x:v>Not evaluated; lowers coverage and blocks final score when coverage &lt;80%</x:v>
      </x:c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 ht="32" customHeight="1">
      <x:c r="A24" s="51" t="str">
        <x:v>Confidence</x:v>
      </x:c>
      <x:c r="B24" s="52" t="str">
        <x:v>Numeric factor</x:v>
      </x:c>
      <x:c r="C24" s="53" t="str">
        <x:v>Use</x:v>
      </x:c>
      <x:c r="D24"/>
      <x:c r="E24"/>
    </x:row>
    <x:row r="25">
      <x:c r="A25" s="68" t="str">
        <x:v>HIGH</x:v>
      </x:c>
      <x:c r="B25" s="68" t="n">
        <x:v>1</x:v>
      </x:c>
      <x:c r="C25" s="68" t="str">
        <x:v>Deterministic evidence from authoritative source</x:v>
      </x:c>
      <x:c r="D25"/>
      <x:c r="E25"/>
    </x:row>
    <x:row r="26">
      <x:c r="A26" s="70" t="str">
        <x:v>MEDIUM</x:v>
      </x:c>
      <x:c r="B26" s="70" t="n">
        <x:v>0.7</x:v>
      </x:c>
      <x:c r="C26" s="70" t="str">
        <x:v>Partial evidence or bounded inference</x:v>
      </x:c>
      <x:c r="D26"/>
      <x:c r="E26"/>
    </x:row>
    <x:row r="27">
      <x:c r="A27" s="72" t="str">
        <x:v>LOW</x:v>
      </x:c>
      <x:c r="B27" s="72" t="n">
        <x:v>0.4</x:v>
      </x:c>
      <x:c r="C27" s="72" t="str">
        <x:v>Weak/indirect evidence; recommendation becomes INVESTIGATE</x:v>
      </x:c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 ht="32" customHeight="1">
      <x:c r="A30" s="51" t="str">
        <x:v>Final state</x:v>
      </x:c>
      <x:c r="B30" s="52" t="str">
        <x:v>Condition</x:v>
      </x:c>
      <x:c r="C30" s="53" t="str">
        <x:v>Effect</x:v>
      </x:c>
      <x:c r="D30"/>
      <x:c r="E30"/>
    </x:row>
    <x:row r="31">
      <x:c r="A31" s="68" t="str">
        <x:v>BLOCKED</x:v>
      </x:c>
      <x:c r="B31" s="68" t="str">
        <x:v>Any blocking Foundation Gate fails</x:v>
      </x:c>
      <x:c r="C31" s="68" t="str">
        <x:v>No DCS published; no workflow recommendation</x:v>
      </x:c>
      <x:c r="D31"/>
      <x:c r="E31"/>
    </x:row>
    <x:row r="32">
      <x:c r="A32" s="70" t="str">
        <x:v>INCOMPLETE</x:v>
      </x:c>
      <x:c r="B32" s="70" t="str">
        <x:v>Any required dimension coverage &lt;80% or sweep incomplete</x:v>
      </x:c>
      <x:c r="C32" s="70" t="str">
        <x:v>Provisional sub-scores only</x:v>
      </x:c>
      <x:c r="D32"/>
      <x:c r="E32"/>
    </x:row>
    <x:row r="33">
      <x:c r="A33" s="70" t="str">
        <x:v>READY</x:v>
      </x:c>
      <x:c r="B33" s="70" t="str">
        <x:v>DCS ≥90 and all hard gates pass</x:v>
      </x:c>
      <x:c r="C33" s="70" t="str">
        <x:v>Activation may proceed subject to workflow-specific gates</x:v>
      </x:c>
      <x:c r="D33"/>
      <x:c r="E33"/>
    </x:row>
    <x:row r="34">
      <x:c r="A34" s="70" t="str">
        <x:v>CONDITIONALLY_READY</x:v>
      </x:c>
      <x:c r="B34" s="70" t="str">
        <x:v>DCS 70–89.99 and all hard gates pass</x:v>
      </x:c>
      <x:c r="C34" s="70" t="str">
        <x:v>Only workflows whose required checks pass</x:v>
      </x:c>
      <x:c r="D34"/>
      <x:c r="E34"/>
    </x:row>
    <x:row r="35">
      <x:c r="A35" s="70" t="str">
        <x:v>REMEDIATE</x:v>
      </x:c>
      <x:c r="B35" s="70" t="str">
        <x:v>DCS 50–69.99</x:v>
      </x:c>
      <x:c r="C35" s="70" t="str">
        <x:v>Data fixes first; workflow build held</x:v>
      </x:c>
      <x:c r="D35"/>
      <x:c r="E35"/>
    </x:row>
    <x:row r="36">
      <x:c r="A36" s="72" t="str">
        <x:v>BLOCKED</x:v>
      </x:c>
      <x:c r="B36" s="72" t="str">
        <x:v>DCS &lt;50</x:v>
      </x:c>
      <x:c r="C36" s="72" t="str">
        <x:v>No lifecycle orchestration</x:v>
      </x:c>
      <x:c r="D36"/>
      <x:c r="E36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62" hidden="0" customWidth="1"/>
    <x:col min="4" max="4" width="28" hidden="0" customWidth="1"/>
    <x:col min="5" max="5" width="50" hidden="0" customWidth="1"/>
    <x:col min="6" max="6" width="58" hidden="0" customWidth="1"/>
  </x:cols>
  <x:sheetData>
    <x:row r="1" ht="34" customHeight="1">
      <x:c r="A1" s="36" t="str">
        <x:v>DCS Score Assembly</x:v>
      </x:c>
      <x:c r="B1" s="36"/>
      <x:c r="C1" s="36"/>
      <x:c r="D1" s="36"/>
      <x:c r="E1" s="36"/>
      <x:c r="F1" s="36"/>
    </x:row>
    <x:row r="2" ht="30" customHeight="1">
      <x:c r="A2" s="39" t="str">
        <x:v>Exact aggregation, missing-data treatment and output fields</x:v>
      </x:c>
      <x:c r="B2" s="39"/>
      <x:c r="C2" s="39"/>
      <x:c r="D2" s="39"/>
      <x:c r="E2" s="39"/>
      <x:c r="F2" s="39"/>
    </x:row>
    <x:row r="3" ht="26" customHeight="1">
      <x:c r="A3" s="42" t="str">
        <x:v>Klints · MVP1 build contract · v1.4.1 · 18 July 2026</x:v>
      </x:c>
      <x:c r="B3" s="42"/>
      <x:c r="C3" s="42"/>
      <x:c r="D3" s="42"/>
      <x:c r="E3" s="42"/>
      <x:c r="F3" s="42"/>
    </x:row>
    <x:row r="4">
      <x:c r="A4"/>
      <x:c r="B4"/>
      <x:c r="C4"/>
      <x:c r="D4"/>
      <x:c r="E4"/>
      <x:c r="F4"/>
    </x:row>
    <x:row r="5" ht="32" customHeight="1">
      <x:c r="A5" s="51" t="str">
        <x:v>Step</x:v>
      </x:c>
      <x:c r="B5" s="52" t="str">
        <x:v>Input</x:v>
      </x:c>
      <x:c r="C5" s="52" t="str">
        <x:v>Calculation</x:v>
      </x:c>
      <x:c r="D5" s="52" t="str">
        <x:v>Output field</x:v>
      </x:c>
      <x:c r="E5" s="52" t="str">
        <x:v>Hard rule</x:v>
      </x:c>
      <x:c r="F5" s="53" t="str">
        <x:v>Implementation note</x:v>
      </x:c>
    </x:row>
    <x:row r="6">
      <x:c r="A6" s="68" t="n">
        <x:v>1</x:v>
      </x:c>
      <x:c r="B6" s="68" t="str">
        <x:v>Foundation Gate results</x:v>
      </x:c>
      <x:c r="C6" s="68" t="str">
        <x:v>Evaluate blocking gates before numeric scoring</x:v>
      </x:c>
      <x:c r="D6" s="68" t="str">
        <x:v>score_state</x:v>
      </x:c>
      <x:c r="E6" s="68" t="str">
        <x:v>A blocking gate failure suppresses headline score</x:v>
      </x:c>
      <x:c r="F6" s="68" t="str">
        <x:v>FD-03 blocks only Business Reality when ERP is formally optional</x:v>
      </x:c>
    </x:row>
    <x:row r="7">
      <x:c r="A7" s="70" t="n">
        <x:v>2</x:v>
      </x:c>
      <x:c r="B7" s="70" t="str">
        <x:v>Check results</x:v>
      </x:c>
      <x:c r="C7" s="70" t="str">
        <x:v>Map PASS=1, WARN=0.5, FAIL=0; exclude NA/NOT_CONNECTED/UNKNOWN</x:v>
      </x:c>
      <x:c r="D7" s="70" t="str">
        <x:v>check_result.score_factor</x:v>
      </x:c>
      <x:c r="E7" s="70" t="str">
        <x:v>No silent zero for missing evidence</x:v>
      </x:c>
      <x:c r="F7" s="70" t="str">
        <x:v>Every exclusion requires reason_code</x:v>
      </x:c>
    </x:row>
    <x:row r="8">
      <x:c r="A8" s="70" t="n">
        <x:v>3</x:v>
      </x:c>
      <x:c r="B8" s="70" t="str">
        <x:v>Numeric check weight</x:v>
      </x:c>
      <x:c r="C8" s="70" t="str">
        <x:v>Critical=5, High=4, Medium=2, Low=1, Informational=0.5</x:v>
      </x:c>
      <x:c r="D8" s="70" t="str">
        <x:v>check_result.numeric_weight</x:v>
      </x:c>
      <x:c r="E8" s="70" t="str">
        <x:v>Foundation gates carry weight 0</x:v>
      </x:c>
      <x:c r="F8" s="70" t="str">
        <x:v>Severity and weight remain separate source fields</x:v>
      </x:c>
    </x:row>
    <x:row r="9">
      <x:c r="A9" s="70" t="n">
        <x:v>4</x:v>
      </x:c>
      <x:c r="B9" s="70" t="str">
        <x:v>Per dimension</x:v>
      </x:c>
      <x:c r="C9" s="70" t="str">
        <x:v>100 × Σ(weight × result factor) / Σ(eligible weight)</x:v>
      </x:c>
      <x:c r="D9" s="70" t="str">
        <x:v>dimension_score</x:v>
      </x:c>
      <x:c r="E9" s="70" t="str">
        <x:v>Eligible = PASS/WARN/FAIL only</x:v>
      </x:c>
      <x:c r="F9" s="70" t="str">
        <x:v>Round for display only; store 4 decimals</x:v>
      </x:c>
    </x:row>
    <x:row r="10">
      <x:c r="A10" s="70" t="n">
        <x:v>5</x:v>
      </x:c>
      <x:c r="B10" s="70" t="str">
        <x:v>Coverage</x:v>
      </x:c>
      <x:c r="C10" s="70" t="str">
        <x:v>Σ eligible weight / Σ scoped applicable weight</x:v>
      </x:c>
      <x:c r="D10" s="70" t="str">
        <x:v>dimension_coverage</x:v>
      </x:c>
      <x:c r="E10" s="70" t="str">
        <x:v>Required dimensions need ≥80%</x:v>
      </x:c>
      <x:c r="F10" s="70" t="str">
        <x:v>UNKNOWN lowers coverage; NOT_APPLICABLE needs evidence</x:v>
      </x:c>
    </x:row>
    <x:row r="11">
      <x:c r="A11" s="70" t="n">
        <x:v>6</x:v>
      </x:c>
      <x:c r="B11" s="70" t="str">
        <x:v>Confidence</x:v>
      </x:c>
      <x:c r="C11" s="70" t="str">
        <x:v>Σ(weight × confidence factor) / Σ eligible weight</x:v>
      </x:c>
      <x:c r="D11" s="70" t="str">
        <x:v>dimension_confidence</x:v>
      </x:c>
      <x:c r="E11" s="70" t="str">
        <x:v>Low confidence does not alter score</x:v>
      </x:c>
      <x:c r="F11" s="70" t="str">
        <x:v>It alters recommendation state and audit surface</x:v>
      </x:c>
    </x:row>
    <x:row r="12">
      <x:c r="A12" s="70" t="n">
        <x:v>7</x:v>
      </x:c>
      <x:c r="B12" s="70" t="str">
        <x:v>Headline</x:v>
      </x:c>
      <x:c r="C12" s="70" t="str">
        <x:v>Σ(dimension score × dimension weight) / Σ included dimension weight</x:v>
      </x:c>
      <x:c r="D12" s="70" t="str">
        <x:v>headline_score</x:v>
      </x:c>
      <x:c r="E12" s="70" t="str">
        <x:v>Business Reality may be excluded only by declared scope</x:v>
      </x:c>
      <x:c r="F12" s="70" t="str">
        <x:v>If excluded, cap state at CONDITIONALLY_READY and confidence at 85%</x:v>
      </x:c>
    </x:row>
    <x:row r="13">
      <x:c r="A13" s="70" t="n">
        <x:v>8</x:v>
      </x:c>
      <x:c r="B13" s="70" t="str">
        <x:v>Recommendation gate</x:v>
      </x:c>
      <x:c r="C13" s="70" t="str">
        <x:v>Join workflow Gating Check IDs to latest results</x:v>
      </x:c>
      <x:c r="D13" s="70" t="str">
        <x:v>workflow_readiness</x:v>
      </x:c>
      <x:c r="E13" s="70" t="str">
        <x:v>Every required check must PASS or approved WARN</x:v>
      </x:c>
      <x:c r="F13" s="70" t="str">
        <x:v>DCS ≥70 alone never overrides a failed workflow-specific gate</x:v>
      </x:c>
    </x:row>
    <x:row r="14">
      <x:c r="A14" s="72" t="n">
        <x:v>9</x:v>
      </x:c>
      <x:c r="B14" s="72" t="str">
        <x:v>Versioning</x:v>
      </x:c>
      <x:c r="C14" s="72" t="str">
        <x:v>Persist scoring_model_version and check_catalog_version</x:v>
      </x:c>
      <x:c r="D14" s="72" t="str">
        <x:v>provenance</x:v>
      </x:c>
      <x:c r="E14" s="72" t="str">
        <x:v>Never recompute history under a new model silently</x:v>
      </x:c>
      <x:c r="F14" s="72" t="str">
        <x:v>Re-score creates a new score record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6" hidden="0" customWidth="1"/>
    <x:col min="4" max="4" width="24" hidden="0" customWidth="1"/>
    <x:col min="5" max="5" width="42" hidden="0" customWidth="1"/>
    <x:col min="6" max="6" width="2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</x:cols>
  <x:sheetData>
    <x:row r="1" ht="34" customHeight="1">
      <x:c r="A1" s="36" t="str">
        <x:v>MVP1 Check Scope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 ht="30" customHeight="1">
      <x:c r="A2" s="39" t="str">
        <x:v>Exactly 28 deterministic rule checks + 14 drift/freshness checks = 42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 ht="26" customHeight="1">
      <x:c r="A3" s="42" t="str">
        <x:v>This sheet is authoritative for MVP1 build scope; the 102-check catalogue is the expansion library.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5" ht="32" customHeight="1">
      <x:c r="A5" s="51" t="str">
        <x:v>Seq</x:v>
      </x:c>
      <x:c r="B5" s="52" t="str">
        <x:v>Check ID</x:v>
      </x:c>
      <x:c r="C5" s="52" t="str">
        <x:v>MVP1 Class</x:v>
      </x:c>
      <x:c r="D5" s="52" t="str">
        <x:v>DCS Dimension</x:v>
      </x:c>
      <x:c r="E5" s="52" t="str">
        <x:v>Check Name</x:v>
      </x:c>
      <x:c r="F5" s="52" t="str">
        <x:v>Check Type</x:v>
      </x:c>
      <x:c r="G5" s="52" t="str">
        <x:v>Numeric Weight</x:v>
      </x:c>
      <x:c r="H5" s="52" t="str">
        <x:v>Role</x:v>
      </x:c>
      <x:c r="I5" s="52" t="str">
        <x:v>Cadence</x:v>
      </x:c>
      <x:c r="J5" s="53" t="str">
        <x:v>Build Phase</x:v>
      </x:c>
    </x:row>
    <x:row r="6">
      <x:c r="A6" s="68" t="n">
        <x:v>1</x:v>
      </x:c>
      <x:c r="B6" s="68" t="str">
        <x:v>FD-01</x:v>
      </x:c>
      <x:c r="C6" s="68" t="str">
        <x:v>RULE_BASED</x:v>
      </x:c>
      <x:c r="D6" s="68" t="str">
        <x:v>00 Foundation Gate</x:v>
      </x:c>
      <x:c r="E6" s="68" t="str">
        <x:v>Manago API authentication valid</x:v>
      </x:c>
      <x:c r="F6" s="68" t="str">
        <x:v>Connectivity</x:v>
      </x:c>
      <x:c r="G6" s="68" t="n">
        <x:v>0</x:v>
      </x:c>
      <x:c r="H6" s="68" t="str">
        <x:v>GATE</x:v>
      </x:c>
      <x:c r="I6" s="68" t="str">
        <x:v>Initial + Recurring</x:v>
      </x:c>
      <x:c r="J6" s="68" t="str">
        <x:v>MVP1-A</x:v>
      </x:c>
    </x:row>
    <x:row r="7">
      <x:c r="A7" s="70" t="n">
        <x:v>2</x:v>
      </x:c>
      <x:c r="B7" s="70" t="str">
        <x:v>FD-02</x:v>
      </x:c>
      <x:c r="C7" s="70" t="str">
        <x:v>RULE_BASED</x:v>
      </x:c>
      <x:c r="D7" s="70" t="str">
        <x:v>00 Foundation Gate</x:v>
      </x:c>
      <x:c r="E7" s="70" t="str">
        <x:v>Shopify API authentication and scopes</x:v>
      </x:c>
      <x:c r="F7" s="70" t="str">
        <x:v>Connectivity</x:v>
      </x:c>
      <x:c r="G7" s="70" t="n">
        <x:v>0</x:v>
      </x:c>
      <x:c r="H7" s="70" t="str">
        <x:v>GATE</x:v>
      </x:c>
      <x:c r="I7" s="70" t="str">
        <x:v>Initial + Recurring</x:v>
      </x:c>
      <x:c r="J7" s="70" t="str">
        <x:v>MVP1-A</x:v>
      </x:c>
    </x:row>
    <x:row r="8">
      <x:c r="A8" s="70" t="n">
        <x:v>3</x:v>
      </x:c>
      <x:c r="B8" s="70" t="str">
        <x:v>FD-03</x:v>
      </x:c>
      <x:c r="C8" s="70" t="str">
        <x:v>RULE_BASED</x:v>
      </x:c>
      <x:c r="D8" s="70" t="str">
        <x:v>00 Foundation Gate</x:v>
      </x:c>
      <x:c r="E8" s="70" t="str">
        <x:v>ERP feed reachable and parseable</x:v>
      </x:c>
      <x:c r="F8" s="70" t="str">
        <x:v>Connectivity</x:v>
      </x:c>
      <x:c r="G8" s="70" t="n">
        <x:v>0</x:v>
      </x:c>
      <x:c r="H8" s="70" t="str">
        <x:v>GATE</x:v>
      </x:c>
      <x:c r="I8" s="70" t="str">
        <x:v>Initial + Recurring</x:v>
      </x:c>
      <x:c r="J8" s="70" t="str">
        <x:v>MVP1-A</x:v>
      </x:c>
    </x:row>
    <x:row r="9">
      <x:c r="A9" s="70" t="n">
        <x:v>4</x:v>
      </x:c>
      <x:c r="B9" s="70" t="str">
        <x:v>FD-04</x:v>
      </x:c>
      <x:c r="C9" s="70" t="str">
        <x:v>RULE_BASED</x:v>
      </x:c>
      <x:c r="D9" s="70" t="str">
        <x:v>00 Foundation Gate</x:v>
      </x:c>
      <x:c r="E9" s="70" t="str">
        <x:v>API rate-limit headroom measured</x:v>
      </x:c>
      <x:c r="F9" s="70" t="str">
        <x:v>Connectivity</x:v>
      </x:c>
      <x:c r="G9" s="70" t="n">
        <x:v>0</x:v>
      </x:c>
      <x:c r="H9" s="70" t="str">
        <x:v>GATE</x:v>
      </x:c>
      <x:c r="I9" s="70" t="str">
        <x:v>Initial</x:v>
      </x:c>
      <x:c r="J9" s="70" t="str">
        <x:v>MVP1-A</x:v>
      </x:c>
    </x:row>
    <x:row r="10">
      <x:c r="A10" s="70" t="n">
        <x:v>5</x:v>
      </x:c>
      <x:c r="B10" s="70" t="str">
        <x:v>FD-05</x:v>
      </x:c>
      <x:c r="C10" s="70" t="str">
        <x:v>RULE_BASED</x:v>
      </x:c>
      <x:c r="D10" s="70" t="str">
        <x:v>00 Foundation Gate</x:v>
      </x:c>
      <x:c r="E10" s="70" t="str">
        <x:v>Historical data depth available</x:v>
      </x:c>
      <x:c r="F10" s="70" t="str">
        <x:v>Connectivity</x:v>
      </x:c>
      <x:c r="G10" s="70" t="n">
        <x:v>0</x:v>
      </x:c>
      <x:c r="H10" s="70" t="str">
        <x:v>GATE</x:v>
      </x:c>
      <x:c r="I10" s="70" t="str">
        <x:v>Initial</x:v>
      </x:c>
      <x:c r="J10" s="70" t="str">
        <x:v>MVP1-A</x:v>
      </x:c>
    </x:row>
    <x:row r="11">
      <x:c r="A11" s="70" t="n">
        <x:v>6</x:v>
      </x:c>
      <x:c r="B11" s="70" t="str">
        <x:v>FD-06</x:v>
      </x:c>
      <x:c r="C11" s="70" t="str">
        <x:v>RULE_BASED</x:v>
      </x:c>
      <x:c r="D11" s="70" t="str">
        <x:v>00 Foundation Gate</x:v>
      </x:c>
      <x:c r="E11" s="70" t="str">
        <x:v>Manago account/sub-account topology mapped</x:v>
      </x:c>
      <x:c r="F11" s="70" t="str">
        <x:v>Connectivity</x:v>
      </x:c>
      <x:c r="G11" s="70" t="n">
        <x:v>0</x:v>
      </x:c>
      <x:c r="H11" s="70" t="str">
        <x:v>GATE</x:v>
      </x:c>
      <x:c r="I11" s="70" t="str">
        <x:v>Initial</x:v>
      </x:c>
      <x:c r="J11" s="70" t="str">
        <x:v>MVP1-A</x:v>
      </x:c>
    </x:row>
    <x:row r="12">
      <x:c r="A12" s="70" t="n">
        <x:v>7</x:v>
      </x:c>
      <x:c r="B12" s="70" t="str">
        <x:v>FD-07</x:v>
      </x:c>
      <x:c r="C12" s="70" t="str">
        <x:v>RULE_BASED</x:v>
      </x:c>
      <x:c r="D12" s="70" t="str">
        <x:v>00 Foundation Gate</x:v>
      </x:c>
      <x:c r="E12" s="70" t="str">
        <x:v>Manago site tracking code active</x:v>
      </x:c>
      <x:c r="F12" s="70" t="str">
        <x:v>Connectivity</x:v>
      </x:c>
      <x:c r="G12" s="70" t="n">
        <x:v>0</x:v>
      </x:c>
      <x:c r="H12" s="70" t="str">
        <x:v>GATE</x:v>
      </x:c>
      <x:c r="I12" s="70" t="str">
        <x:v>Initial + Recurring</x:v>
      </x:c>
      <x:c r="J12" s="70" t="str">
        <x:v>MVP1-A</x:v>
      </x:c>
    </x:row>
    <x:row r="13">
      <x:c r="A13" s="70" t="n">
        <x:v>8</x:v>
      </x:c>
      <x:c r="B13" s="70" t="str">
        <x:v>CI-01</x:v>
      </x:c>
      <x:c r="C13" s="70" t="str">
        <x:v>RULE_BASED</x:v>
      </x:c>
      <x:c r="D13" s="70" t="str">
        <x:v>01 Customer Identity</x:v>
      </x:c>
      <x:c r="E13" s="70" t="str">
        <x:v>Contact count reconciliation</x:v>
      </x:c>
      <x:c r="F13" s="70" t="str">
        <x:v>Cross-system reconciliation</x:v>
      </x:c>
      <x:c r="G13" s="70" t="n">
        <x:v>4</x:v>
      </x:c>
      <x:c r="H13" s="70" t="str">
        <x:v>SCORED</x:v>
      </x:c>
      <x:c r="I13" s="70" t="str">
        <x:v>Initial + Recurring</x:v>
      </x:c>
      <x:c r="J13" s="70" t="str">
        <x:v>MVP1-A</x:v>
      </x:c>
    </x:row>
    <x:row r="14">
      <x:c r="A14" s="70" t="n">
        <x:v>9</x:v>
      </x:c>
      <x:c r="B14" s="70" t="str">
        <x:v>CI-02</x:v>
      </x:c>
      <x:c r="C14" s="70" t="str">
        <x:v>RULE_BASED</x:v>
      </x:c>
      <x:c r="D14" s="70" t="str">
        <x:v>01 Customer Identity</x:v>
      </x:c>
      <x:c r="E14" s="70" t="str">
        <x:v>Guest checkout identity share</x:v>
      </x:c>
      <x:c r="F14" s="70" t="str">
        <x:v>Presence</x:v>
      </x:c>
      <x:c r="G14" s="70" t="n">
        <x:v>4</x:v>
      </x:c>
      <x:c r="H14" s="70" t="str">
        <x:v>SCORED</x:v>
      </x:c>
      <x:c r="I14" s="70" t="str">
        <x:v>Initial + Recurring</x:v>
      </x:c>
      <x:c r="J14" s="70" t="str">
        <x:v>MVP1-A</x:v>
      </x:c>
    </x:row>
    <x:row r="15">
      <x:c r="A15" s="70" t="n">
        <x:v>10</x:v>
      </x:c>
      <x:c r="B15" s="70" t="str">
        <x:v>CI-03</x:v>
      </x:c>
      <x:c r="C15" s="70" t="str">
        <x:v>RULE_BASED</x:v>
      </x:c>
      <x:c r="D15" s="70" t="str">
        <x:v>01 Customer Identity</x:v>
      </x:c>
      <x:c r="E15" s="70" t="str">
        <x:v>Duplicate contacts in Manago</x:v>
      </x:c>
      <x:c r="F15" s="70" t="str">
        <x:v>Uniqueness</x:v>
      </x:c>
      <x:c r="G15" s="70" t="n">
        <x:v>4</x:v>
      </x:c>
      <x:c r="H15" s="70" t="str">
        <x:v>SCORED</x:v>
      </x:c>
      <x:c r="I15" s="70" t="str">
        <x:v>Initial + Recurring</x:v>
      </x:c>
      <x:c r="J15" s="70" t="str">
        <x:v>MVP1-A</x:v>
      </x:c>
    </x:row>
    <x:row r="16">
      <x:c r="A16" s="70" t="n">
        <x:v>11</x:v>
      </x:c>
      <x:c r="B16" s="70" t="str">
        <x:v>CI-05</x:v>
      </x:c>
      <x:c r="C16" s="70" t="str">
        <x:v>RULE_BASED</x:v>
      </x:c>
      <x:c r="D16" s="70" t="str">
        <x:v>01 Customer Identity</x:v>
      </x:c>
      <x:c r="E16" s="70" t="str">
        <x:v>External ID linkage integrity</x:v>
      </x:c>
      <x:c r="F16" s="70" t="str">
        <x:v>Referential integrity</x:v>
      </x:c>
      <x:c r="G16" s="70" t="n">
        <x:v>4</x:v>
      </x:c>
      <x:c r="H16" s="70" t="str">
        <x:v>SCORED</x:v>
      </x:c>
      <x:c r="I16" s="70" t="str">
        <x:v>Initial + Recurring</x:v>
      </x:c>
      <x:c r="J16" s="70" t="str">
        <x:v>MVP1-A</x:v>
      </x:c>
    </x:row>
    <x:row r="17">
      <x:c r="A17" s="70" t="n">
        <x:v>12</x:v>
      </x:c>
      <x:c r="B17" s="70" t="str">
        <x:v>LE-01</x:v>
      </x:c>
      <x:c r="C17" s="70" t="str">
        <x:v>RULE_BASED</x:v>
      </x:c>
      <x:c r="D17" s="70" t="str">
        <x:v>02 Lifecycle Event</x:v>
      </x:c>
      <x:c r="E17" s="70" t="str">
        <x:v>Purchase event count parity</x:v>
      </x:c>
      <x:c r="F17" s="70" t="str">
        <x:v>Cross-system reconciliation</x:v>
      </x:c>
      <x:c r="G17" s="70" t="n">
        <x:v>4</x:v>
      </x:c>
      <x:c r="H17" s="70" t="str">
        <x:v>SCORED</x:v>
      </x:c>
      <x:c r="I17" s="70" t="str">
        <x:v>Initial + Recurring</x:v>
      </x:c>
      <x:c r="J17" s="70" t="str">
        <x:v>MVP1-A</x:v>
      </x:c>
    </x:row>
    <x:row r="18">
      <x:c r="A18" s="70" t="n">
        <x:v>13</x:v>
      </x:c>
      <x:c r="B18" s="70" t="str">
        <x:v>LE-02</x:v>
      </x:c>
      <x:c r="C18" s="70" t="str">
        <x:v>RULE_BASED</x:v>
      </x:c>
      <x:c r="D18" s="70" t="str">
        <x:v>02 Lifecycle Event</x:v>
      </x:c>
      <x:c r="E18" s="70" t="str">
        <x:v>Purchase value parity</x:v>
      </x:c>
      <x:c r="F18" s="70" t="str">
        <x:v>Cross-system reconciliation</x:v>
      </x:c>
      <x:c r="G18" s="70" t="n">
        <x:v>4</x:v>
      </x:c>
      <x:c r="H18" s="70" t="str">
        <x:v>SCORED</x:v>
      </x:c>
      <x:c r="I18" s="70" t="str">
        <x:v>Initial + Recurring</x:v>
      </x:c>
      <x:c r="J18" s="70" t="str">
        <x:v>MVP1-A</x:v>
      </x:c>
    </x:row>
    <x:row r="19">
      <x:c r="A19" s="70" t="n">
        <x:v>14</x:v>
      </x:c>
      <x:c r="B19" s="70" t="str">
        <x:v>LE-03</x:v>
      </x:c>
      <x:c r="C19" s="70" t="str">
        <x:v>RULE_BASED</x:v>
      </x:c>
      <x:c r="D19" s="70" t="str">
        <x:v>02 Lifecycle Event</x:v>
      </x:c>
      <x:c r="E19" s="70" t="str">
        <x:v>Order ID (externalId) presence on events</x:v>
      </x:c>
      <x:c r="F19" s="70" t="str">
        <x:v>Presence</x:v>
      </x:c>
      <x:c r="G19" s="70" t="n">
        <x:v>4</x:v>
      </x:c>
      <x:c r="H19" s="70" t="str">
        <x:v>SCORED</x:v>
      </x:c>
      <x:c r="I19" s="70" t="str">
        <x:v>Initial</x:v>
      </x:c>
      <x:c r="J19" s="70" t="str">
        <x:v>MVP1-A</x:v>
      </x:c>
    </x:row>
    <x:row r="20">
      <x:c r="A20" s="70" t="n">
        <x:v>15</x:v>
      </x:c>
      <x:c r="B20" s="70" t="str">
        <x:v>LE-04</x:v>
      </x:c>
      <x:c r="C20" s="70" t="str">
        <x:v>RULE_BASED</x:v>
      </x:c>
      <x:c r="D20" s="70" t="str">
        <x:v>02 Lifecycle Event</x:v>
      </x:c>
      <x:c r="E20" s="70" t="str">
        <x:v>Duplicate purchase events per order</x:v>
      </x:c>
      <x:c r="F20" s="70" t="str">
        <x:v>Uniqueness</x:v>
      </x:c>
      <x:c r="G20" s="70" t="n">
        <x:v>4</x:v>
      </x:c>
      <x:c r="H20" s="70" t="str">
        <x:v>SCORED</x:v>
      </x:c>
      <x:c r="I20" s="70" t="str">
        <x:v>Initial + Recurring</x:v>
      </x:c>
      <x:c r="J20" s="70" t="str">
        <x:v>MVP1-A</x:v>
      </x:c>
    </x:row>
    <x:row r="21">
      <x:c r="A21" s="70" t="n">
        <x:v>16</x:v>
      </x:c>
      <x:c r="B21" s="70" t="str">
        <x:v>LE-05</x:v>
      </x:c>
      <x:c r="C21" s="70" t="str">
        <x:v>RULE_BASED</x:v>
      </x:c>
      <x:c r="D21" s="70" t="str">
        <x:v>02 Lifecycle Event</x:v>
      </x:c>
      <x:c r="E21" s="70" t="str">
        <x:v>Order-level event gap list</x:v>
      </x:c>
      <x:c r="F21" s="70" t="str">
        <x:v>Cross-system reconciliation</x:v>
      </x:c>
      <x:c r="G21" s="70" t="n">
        <x:v>4</x:v>
      </x:c>
      <x:c r="H21" s="70" t="str">
        <x:v>SCORED</x:v>
      </x:c>
      <x:c r="I21" s="70" t="str">
        <x:v>Initial + Recurring</x:v>
      </x:c>
      <x:c r="J21" s="70" t="str">
        <x:v>MVP1-A</x:v>
      </x:c>
    </x:row>
    <x:row r="22">
      <x:c r="A22" s="70" t="n">
        <x:v>17</x:v>
      </x:c>
      <x:c r="B22" s="70" t="str">
        <x:v>LE-09</x:v>
      </x:c>
      <x:c r="C22" s="70" t="str">
        <x:v>RULE_BASED</x:v>
      </x:c>
      <x:c r="D22" s="70" t="str">
        <x:v>02 Lifecycle Event</x:v>
      </x:c>
      <x:c r="E22" s="70" t="str">
        <x:v>Returns and cancellations reflected</x:v>
      </x:c>
      <x:c r="F22" s="70" t="str">
        <x:v>Cross-system reconciliation</x:v>
      </x:c>
      <x:c r="G22" s="70" t="n">
        <x:v>4</x:v>
      </x:c>
      <x:c r="H22" s="70" t="str">
        <x:v>SCORED</x:v>
      </x:c>
      <x:c r="I22" s="70" t="str">
        <x:v>Initial + Recurring</x:v>
      </x:c>
      <x:c r="J22" s="70" t="str">
        <x:v>MVP1-A</x:v>
      </x:c>
    </x:row>
    <x:row r="23">
      <x:c r="A23" s="70" t="n">
        <x:v>18</x:v>
      </x:c>
      <x:c r="B23" s="70" t="str">
        <x:v>PT-01</x:v>
      </x:c>
      <x:c r="C23" s="70" t="str">
        <x:v>RULE_BASED</x:v>
      </x:c>
      <x:c r="D23" s="70" t="str">
        <x:v>03 Product &amp; Transaction</x:v>
      </x:c>
      <x:c r="E23" s="70" t="str">
        <x:v>Event product IDs resolve in catalog</x:v>
      </x:c>
      <x:c r="F23" s="70" t="str">
        <x:v>Referential integrity</x:v>
      </x:c>
      <x:c r="G23" s="70" t="n">
        <x:v>4</x:v>
      </x:c>
      <x:c r="H23" s="70" t="str">
        <x:v>SCORED</x:v>
      </x:c>
      <x:c r="I23" s="70" t="str">
        <x:v>Initial + Recurring</x:v>
      </x:c>
      <x:c r="J23" s="70" t="str">
        <x:v>MVP1-A</x:v>
      </x:c>
    </x:row>
    <x:row r="24">
      <x:c r="A24" s="70" t="n">
        <x:v>19</x:v>
      </x:c>
      <x:c r="B24" s="70" t="str">
        <x:v>PT-03</x:v>
      </x:c>
      <x:c r="C24" s="70" t="str">
        <x:v>RULE_BASED</x:v>
      </x:c>
      <x:c r="D24" s="70" t="str">
        <x:v>03 Product &amp; Transaction</x:v>
      </x:c>
      <x:c r="E24" s="70" t="str">
        <x:v>Catalog completeness vs commerce</x:v>
      </x:c>
      <x:c r="F24" s="70" t="str">
        <x:v>Cross-system reconciliation</x:v>
      </x:c>
      <x:c r="G24" s="70" t="n">
        <x:v>4</x:v>
      </x:c>
      <x:c r="H24" s="70" t="str">
        <x:v>SCORED</x:v>
      </x:c>
      <x:c r="I24" s="70" t="str">
        <x:v>Initial + Recurring</x:v>
      </x:c>
      <x:c r="J24" s="70" t="str">
        <x:v>MVP1-A</x:v>
      </x:c>
    </x:row>
    <x:row r="25">
      <x:c r="A25" s="70" t="n">
        <x:v>20</x:v>
      </x:c>
      <x:c r="B25" s="70" t="str">
        <x:v>PT-04</x:v>
      </x:c>
      <x:c r="C25" s="70" t="str">
        <x:v>RULE_BASED</x:v>
      </x:c>
      <x:c r="D25" s="70" t="str">
        <x:v>03 Product &amp; Transaction</x:v>
      </x:c>
      <x:c r="E25" s="70" t="str">
        <x:v>Net vs gross transaction truth per contact</x:v>
      </x:c>
      <x:c r="F25" s="70" t="str">
        <x:v>Cross-system reconciliation</x:v>
      </x:c>
      <x:c r="G25" s="70" t="n">
        <x:v>4</x:v>
      </x:c>
      <x:c r="H25" s="70" t="str">
        <x:v>SCORED</x:v>
      </x:c>
      <x:c r="I25" s="70" t="str">
        <x:v>Initial + Recurring</x:v>
      </x:c>
      <x:c r="J25" s="70" t="str">
        <x:v>MVP1-A</x:v>
      </x:c>
    </x:row>
    <x:row r="26">
      <x:c r="A26" s="70" t="n">
        <x:v>21</x:v>
      </x:c>
      <x:c r="B26" s="70" t="str">
        <x:v>SP-03</x:v>
      </x:c>
      <x:c r="C26" s="70" t="str">
        <x:v>RULE_BASED</x:v>
      </x:c>
      <x:c r="D26" s="70" t="str">
        <x:v>04 Segment &amp; Property</x:v>
      </x:c>
      <x:c r="E26" s="70" t="str">
        <x:v>Standard detail schema consistency</x:v>
      </x:c>
      <x:c r="F26" s="70" t="str">
        <x:v>Schema / format</x:v>
      </x:c>
      <x:c r="G26" s="70" t="n">
        <x:v>4</x:v>
      </x:c>
      <x:c r="H26" s="70" t="str">
        <x:v>SCORED</x:v>
      </x:c>
      <x:c r="I26" s="70" t="str">
        <x:v>Initial</x:v>
      </x:c>
      <x:c r="J26" s="70" t="str">
        <x:v>MVP1-A</x:v>
      </x:c>
    </x:row>
    <x:row r="27">
      <x:c r="A27" s="70" t="n">
        <x:v>22</x:v>
      </x:c>
      <x:c r="B27" s="70" t="str">
        <x:v>SP-07</x:v>
      </x:c>
      <x:c r="C27" s="70" t="str">
        <x:v>RULE_BASED</x:v>
      </x:c>
      <x:c r="D27" s="70" t="str">
        <x:v>04 Segment &amp; Property</x:v>
      </x:c>
      <x:c r="E27" s="70" t="str">
        <x:v>klints_ namespace availability</x:v>
      </x:c>
      <x:c r="F27" s="70" t="str">
        <x:v>Uniqueness</x:v>
      </x:c>
      <x:c r="G27" s="70" t="n">
        <x:v>5</x:v>
      </x:c>
      <x:c r="H27" s="70" t="str">
        <x:v>SCORED</x:v>
      </x:c>
      <x:c r="I27" s="70" t="str">
        <x:v>Initial</x:v>
      </x:c>
      <x:c r="J27" s="70" t="str">
        <x:v>MVP1-A</x:v>
      </x:c>
    </x:row>
    <x:row r="28">
      <x:c r="A28" s="70" t="n">
        <x:v>23</x:v>
      </x:c>
      <x:c r="B28" s="70" t="str">
        <x:v>CC-01</x:v>
      </x:c>
      <x:c r="C28" s="70" t="str">
        <x:v>RULE_BASED</x:v>
      </x:c>
      <x:c r="D28" s="70" t="str">
        <x:v>05 Channel &amp; Consent</x:v>
      </x:c>
      <x:c r="E28" s="70" t="str">
        <x:v>Email opt-in parity</x:v>
      </x:c>
      <x:c r="F28" s="70" t="str">
        <x:v>Consent compliance</x:v>
      </x:c>
      <x:c r="G28" s="70" t="n">
        <x:v>4</x:v>
      </x:c>
      <x:c r="H28" s="70" t="str">
        <x:v>SCORED</x:v>
      </x:c>
      <x:c r="I28" s="70" t="str">
        <x:v>Initial + Recurring</x:v>
      </x:c>
      <x:c r="J28" s="70" t="str">
        <x:v>MVP1-A</x:v>
      </x:c>
    </x:row>
    <x:row r="29">
      <x:c r="A29" s="70" t="n">
        <x:v>24</x:v>
      </x:c>
      <x:c r="B29" s="70" t="str">
        <x:v>CC-02</x:v>
      </x:c>
      <x:c r="C29" s="70" t="str">
        <x:v>RULE_BASED</x:v>
      </x:c>
      <x:c r="D29" s="70" t="str">
        <x:v>05 Channel &amp; Consent</x:v>
      </x:c>
      <x:c r="E29" s="70" t="str">
        <x:v>SMS / mobile consent parity</x:v>
      </x:c>
      <x:c r="F29" s="70" t="str">
        <x:v>Consent compliance</x:v>
      </x:c>
      <x:c r="G29" s="70" t="n">
        <x:v>4</x:v>
      </x:c>
      <x:c r="H29" s="70" t="str">
        <x:v>SCORED</x:v>
      </x:c>
      <x:c r="I29" s="70" t="str">
        <x:v>Initial + Recurring</x:v>
      </x:c>
      <x:c r="J29" s="70" t="str">
        <x:v>MVP1-A</x:v>
      </x:c>
    </x:row>
    <x:row r="30">
      <x:c r="A30" s="70" t="n">
        <x:v>25</x:v>
      </x:c>
      <x:c r="B30" s="70" t="str">
        <x:v>CC-03</x:v>
      </x:c>
      <x:c r="C30" s="70" t="str">
        <x:v>RULE_BASED</x:v>
      </x:c>
      <x:c r="D30" s="70" t="str">
        <x:v>05 Channel &amp; Consent</x:v>
      </x:c>
      <x:c r="E30" s="70" t="str">
        <x:v>Consent provenance completeness</x:v>
      </x:c>
      <x:c r="F30" s="70" t="str">
        <x:v>Presence</x:v>
      </x:c>
      <x:c r="G30" s="70" t="n">
        <x:v>4</x:v>
      </x:c>
      <x:c r="H30" s="70" t="str">
        <x:v>SCORED</x:v>
      </x:c>
      <x:c r="I30" s="70" t="str">
        <x:v>Initial</x:v>
      </x:c>
      <x:c r="J30" s="70" t="str">
        <x:v>MVP1-A</x:v>
      </x:c>
    </x:row>
    <x:row r="31">
      <x:c r="A31" s="70" t="n">
        <x:v>26</x:v>
      </x:c>
      <x:c r="B31" s="70" t="str">
        <x:v>CC-05</x:v>
      </x:c>
      <x:c r="C31" s="70" t="str">
        <x:v>RULE_BASED</x:v>
      </x:c>
      <x:c r="D31" s="70" t="str">
        <x:v>05 Channel &amp; Consent</x:v>
      </x:c>
      <x:c r="E31" s="70" t="str">
        <x:v>Opt-out propagation loop</x:v>
      </x:c>
      <x:c r="F31" s="70" t="str">
        <x:v>Consent compliance</x:v>
      </x:c>
      <x:c r="G31" s="70" t="n">
        <x:v>4</x:v>
      </x:c>
      <x:c r="H31" s="70" t="str">
        <x:v>SCORED</x:v>
      </x:c>
      <x:c r="I31" s="70" t="str">
        <x:v>Initial + Recurring</x:v>
      </x:c>
      <x:c r="J31" s="70" t="str">
        <x:v>MVP1-A</x:v>
      </x:c>
    </x:row>
    <x:row r="32">
      <x:c r="A32" s="70" t="n">
        <x:v>27</x:v>
      </x:c>
      <x:c r="B32" s="70" t="str">
        <x:v>ME-02</x:v>
      </x:c>
      <x:c r="C32" s="70" t="str">
        <x:v>RULE_BASED</x:v>
      </x:c>
      <x:c r="D32" s="70" t="str">
        <x:v>06 Measurement</x:v>
      </x:c>
      <x:c r="E32" s="70" t="str">
        <x:v>Workflow revenue attribution wiring</x:v>
      </x:c>
      <x:c r="F32" s="70" t="str">
        <x:v>Presence</x:v>
      </x:c>
      <x:c r="G32" s="70" t="n">
        <x:v>4</x:v>
      </x:c>
      <x:c r="H32" s="70" t="str">
        <x:v>SCORED</x:v>
      </x:c>
      <x:c r="I32" s="70" t="str">
        <x:v>Initial</x:v>
      </x:c>
      <x:c r="J32" s="70" t="str">
        <x:v>MVP1-A</x:v>
      </x:c>
    </x:row>
    <x:row r="33">
      <x:c r="A33" s="70" t="n">
        <x:v>28</x:v>
      </x:c>
      <x:c r="B33" s="70" t="str">
        <x:v>BR-01</x:v>
      </x:c>
      <x:c r="C33" s="70" t="str">
        <x:v>RULE_BASED</x:v>
      </x:c>
      <x:c r="D33" s="70" t="str">
        <x:v>07 Business Reality</x:v>
      </x:c>
      <x:c r="E33" s="70" t="str">
        <x:v>Margin data coverage per product</x:v>
      </x:c>
      <x:c r="F33" s="70" t="str">
        <x:v>Presence</x:v>
      </x:c>
      <x:c r="G33" s="70" t="n">
        <x:v>4</x:v>
      </x:c>
      <x:c r="H33" s="70" t="str">
        <x:v>SCORED</x:v>
      </x:c>
      <x:c r="I33" s="70" t="str">
        <x:v>Initial + Recurring</x:v>
      </x:c>
      <x:c r="J33" s="70" t="str">
        <x:v>MVP1-A</x:v>
      </x:c>
    </x:row>
    <x:row r="34">
      <x:c r="A34" s="70" t="n">
        <x:v>29</x:v>
      </x:c>
      <x:c r="B34" s="70" t="str">
        <x:v>CI-13</x:v>
      </x:c>
      <x:c r="C34" s="70" t="str">
        <x:v>DRIFT</x:v>
      </x:c>
      <x:c r="D34" s="70" t="str">
        <x:v>01 Customer Identity</x:v>
      </x:c>
      <x:c r="E34" s="70" t="str">
        <x:v>Contact state distribution sanity</x:v>
      </x:c>
      <x:c r="F34" s="70" t="str">
        <x:v>Statistical anomaly</x:v>
      </x:c>
      <x:c r="G34" s="70" t="n">
        <x:v>2</x:v>
      </x:c>
      <x:c r="H34" s="70" t="str">
        <x:v>SCORED</x:v>
      </x:c>
      <x:c r="I34" s="70" t="str">
        <x:v>Initial + Recurring</x:v>
      </x:c>
      <x:c r="J34" s="70" t="str">
        <x:v>MVP1-B</x:v>
      </x:c>
    </x:row>
    <x:row r="35">
      <x:c r="A35" s="70" t="n">
        <x:v>30</x:v>
      </x:c>
      <x:c r="B35" s="70" t="str">
        <x:v>CI-14</x:v>
      </x:c>
      <x:c r="C35" s="70" t="str">
        <x:v>DRIFT</x:v>
      </x:c>
      <x:c r="D35" s="70" t="str">
        <x:v>01 Customer Identity</x:v>
      </x:c>
      <x:c r="E35" s="70" t="str">
        <x:v>Web identity match rate</x:v>
      </x:c>
      <x:c r="F35" s="70" t="str">
        <x:v>Statistical anomaly</x:v>
      </x:c>
      <x:c r="G35" s="70" t="n">
        <x:v>2</x:v>
      </x:c>
      <x:c r="H35" s="70" t="str">
        <x:v>SCORED</x:v>
      </x:c>
      <x:c r="I35" s="70" t="str">
        <x:v>Initial + Recurring</x:v>
      </x:c>
      <x:c r="J35" s="70" t="str">
        <x:v>MVP1-B</x:v>
      </x:c>
    </x:row>
    <x:row r="36">
      <x:c r="A36" s="70" t="n">
        <x:v>31</x:v>
      </x:c>
      <x:c r="B36" s="70" t="str">
        <x:v>CI-15</x:v>
      </x:c>
      <x:c r="C36" s="70" t="str">
        <x:v>DRIFT</x:v>
      </x:c>
      <x:c r="D36" s="70" t="str">
        <x:v>01 Customer Identity</x:v>
      </x:c>
      <x:c r="E36" s="70" t="str">
        <x:v>Contact record freshness</x:v>
      </x:c>
      <x:c r="F36" s="70" t="str">
        <x:v>Freshness</x:v>
      </x:c>
      <x:c r="G36" s="70" t="n">
        <x:v>2</x:v>
      </x:c>
      <x:c r="H36" s="70" t="str">
        <x:v>SCORED</x:v>
      </x:c>
      <x:c r="I36" s="70" t="str">
        <x:v>Initial</x:v>
      </x:c>
      <x:c r="J36" s="70" t="str">
        <x:v>MVP1-B</x:v>
      </x:c>
    </x:row>
    <x:row r="37">
      <x:c r="A37" s="70" t="n">
        <x:v>32</x:v>
      </x:c>
      <x:c r="B37" s="70" t="str">
        <x:v>LE-08</x:v>
      </x:c>
      <x:c r="C37" s="70" t="str">
        <x:v>DRIFT</x:v>
      </x:c>
      <x:c r="D37" s="70" t="str">
        <x:v>02 Lifecycle Event</x:v>
      </x:c>
      <x:c r="E37" s="70" t="str">
        <x:v>Stale open carts</x:v>
      </x:c>
      <x:c r="F37" s="70" t="str">
        <x:v>Freshness</x:v>
      </x:c>
      <x:c r="G37" s="70" t="n">
        <x:v>2</x:v>
      </x:c>
      <x:c r="H37" s="70" t="str">
        <x:v>SCORED</x:v>
      </x:c>
      <x:c r="I37" s="70" t="str">
        <x:v>Initial + Recurring</x:v>
      </x:c>
      <x:c r="J37" s="70" t="str">
        <x:v>MVP1-B</x:v>
      </x:c>
    </x:row>
    <x:row r="38">
      <x:c r="A38" s="70" t="n">
        <x:v>33</x:v>
      </x:c>
      <x:c r="B38" s="70" t="str">
        <x:v>LE-11</x:v>
      </x:c>
      <x:c r="C38" s="70" t="str">
        <x:v>DRIFT</x:v>
      </x:c>
      <x:c r="D38" s="70" t="str">
        <x:v>02 Lifecycle Event</x:v>
      </x:c>
      <x:c r="E38" s="70" t="str">
        <x:v>Event ingestion lag and loss</x:v>
      </x:c>
      <x:c r="F38" s="70" t="str">
        <x:v>Statistical anomaly</x:v>
      </x:c>
      <x:c r="G38" s="70" t="n">
        <x:v>4</x:v>
      </x:c>
      <x:c r="H38" s="70" t="str">
        <x:v>SCORED</x:v>
      </x:c>
      <x:c r="I38" s="70" t="str">
        <x:v>Initial + Recurring</x:v>
      </x:c>
      <x:c r="J38" s="70" t="str">
        <x:v>MVP1-B</x:v>
      </x:c>
    </x:row>
    <x:row r="39">
      <x:c r="A39" s="70" t="n">
        <x:v>34</x:v>
      </x:c>
      <x:c r="B39" s="70" t="str">
        <x:v>LE-13</x:v>
      </x:c>
      <x:c r="C39" s="70" t="str">
        <x:v>DRIFT</x:v>
      </x:c>
      <x:c r="D39" s="70" t="str">
        <x:v>02 Lifecycle Event</x:v>
      </x:c>
      <x:c r="E39" s="70" t="str">
        <x:v>Event volume drift monitor</x:v>
      </x:c>
      <x:c r="F39" s="70" t="str">
        <x:v>Statistical anomaly</x:v>
      </x:c>
      <x:c r="G39" s="70" t="n">
        <x:v>2</x:v>
      </x:c>
      <x:c r="H39" s="70" t="str">
        <x:v>SCORED</x:v>
      </x:c>
      <x:c r="I39" s="70" t="str">
        <x:v>Recurring</x:v>
      </x:c>
      <x:c r="J39" s="70" t="str">
        <x:v>MVP1-B</x:v>
      </x:c>
    </x:row>
    <x:row r="40">
      <x:c r="A40" s="70" t="n">
        <x:v>35</x:v>
      </x:c>
      <x:c r="B40" s="70" t="str">
        <x:v>PT-14</x:v>
      </x:c>
      <x:c r="C40" s="70" t="str">
        <x:v>DRIFT</x:v>
      </x:c>
      <x:c r="D40" s="70" t="str">
        <x:v>03 Product &amp; Transaction</x:v>
      </x:c>
      <x:c r="E40" s="70" t="str">
        <x:v>Order value distribution anomaly</x:v>
      </x:c>
      <x:c r="F40" s="70" t="str">
        <x:v>Statistical anomaly</x:v>
      </x:c>
      <x:c r="G40" s="70" t="n">
        <x:v>2</x:v>
      </x:c>
      <x:c r="H40" s="70" t="str">
        <x:v>SCORED</x:v>
      </x:c>
      <x:c r="I40" s="70" t="str">
        <x:v>Initial + Recurring</x:v>
      </x:c>
      <x:c r="J40" s="70" t="str">
        <x:v>MVP1-B</x:v>
      </x:c>
    </x:row>
    <x:row r="41">
      <x:c r="A41" s="70" t="n">
        <x:v>36</x:v>
      </x:c>
      <x:c r="B41" s="70" t="str">
        <x:v>SP-08</x:v>
      </x:c>
      <x:c r="C41" s="70" t="str">
        <x:v>DRIFT</x:v>
      </x:c>
      <x:c r="D41" s="70" t="str">
        <x:v>04 Segment &amp; Property</x:v>
      </x:c>
      <x:c r="E41" s="70" t="str">
        <x:v>Segment population sanity</x:v>
      </x:c>
      <x:c r="F41" s="70" t="str">
        <x:v>Statistical anomaly</x:v>
      </x:c>
      <x:c r="G41" s="70" t="n">
        <x:v>4</x:v>
      </x:c>
      <x:c r="H41" s="70" t="str">
        <x:v>SCORED</x:v>
      </x:c>
      <x:c r="I41" s="70" t="str">
        <x:v>Initial + Recurring</x:v>
      </x:c>
      <x:c r="J41" s="70" t="str">
        <x:v>MVP1-B</x:v>
      </x:c>
    </x:row>
    <x:row r="42">
      <x:c r="A42" s="70" t="n">
        <x:v>37</x:v>
      </x:c>
      <x:c r="B42" s="70" t="str">
        <x:v>SP-12</x:v>
      </x:c>
      <x:c r="C42" s="70" t="str">
        <x:v>DRIFT</x:v>
      </x:c>
      <x:c r="D42" s="70" t="str">
        <x:v>04 Segment &amp; Property</x:v>
      </x:c>
      <x:c r="E42" s="70" t="str">
        <x:v>Property freshness on decision fields</x:v>
      </x:c>
      <x:c r="F42" s="70" t="str">
        <x:v>Freshness</x:v>
      </x:c>
      <x:c r="G42" s="70" t="n">
        <x:v>2</x:v>
      </x:c>
      <x:c r="H42" s="70" t="str">
        <x:v>SCORED</x:v>
      </x:c>
      <x:c r="I42" s="70" t="str">
        <x:v>Initial + Recurring</x:v>
      </x:c>
      <x:c r="J42" s="70" t="str">
        <x:v>MVP1-B</x:v>
      </x:c>
    </x:row>
    <x:row r="43">
      <x:c r="A43" s="70" t="n">
        <x:v>38</x:v>
      </x:c>
      <x:c r="B43" s="70" t="str">
        <x:v>CC-12</x:v>
      </x:c>
      <x:c r="C43" s="70" t="str">
        <x:v>DRIFT</x:v>
      </x:c>
      <x:c r="D43" s="70" t="str">
        <x:v>05 Channel &amp; Consent</x:v>
      </x:c>
      <x:c r="E43" s="70" t="str">
        <x:v>Consent age and re-permission surface</x:v>
      </x:c>
      <x:c r="F43" s="70" t="str">
        <x:v>Freshness</x:v>
      </x:c>
      <x:c r="G43" s="70" t="n">
        <x:v>1</x:v>
      </x:c>
      <x:c r="H43" s="70" t="str">
        <x:v>SCORED</x:v>
      </x:c>
      <x:c r="I43" s="70" t="str">
        <x:v>Initial</x:v>
      </x:c>
      <x:c r="J43" s="70" t="str">
        <x:v>MVP1-B</x:v>
      </x:c>
    </x:row>
    <x:row r="44">
      <x:c r="A44" s="70" t="n">
        <x:v>39</x:v>
      </x:c>
      <x:c r="B44" s="70" t="str">
        <x:v>ME-08</x:v>
      </x:c>
      <x:c r="C44" s="70" t="str">
        <x:v>DRIFT</x:v>
      </x:c>
      <x:c r="D44" s="70" t="str">
        <x:v>06 Measurement</x:v>
      </x:c>
      <x:c r="E44" s="70" t="str">
        <x:v>Baseline computability for impact claims</x:v>
      </x:c>
      <x:c r="F44" s="70" t="str">
        <x:v>Statistical anomaly</x:v>
      </x:c>
      <x:c r="G44" s="70" t="n">
        <x:v>2</x:v>
      </x:c>
      <x:c r="H44" s="70" t="str">
        <x:v>SCORED</x:v>
      </x:c>
      <x:c r="I44" s="70" t="str">
        <x:v>Initial</x:v>
      </x:c>
      <x:c r="J44" s="70" t="str">
        <x:v>MVP1-B</x:v>
      </x:c>
    </x:row>
    <x:row r="45">
      <x:c r="A45" s="70" t="n">
        <x:v>40</x:v>
      </x:c>
      <x:c r="B45" s="70" t="str">
        <x:v>ME-09</x:v>
      </x:c>
      <x:c r="C45" s="70" t="str">
        <x:v>DRIFT</x:v>
      </x:c>
      <x:c r="D45" s="70" t="str">
        <x:v>06 Measurement</x:v>
      </x:c>
      <x:c r="E45" s="70" t="str">
        <x:v>Email deliverability posture snapshot</x:v>
      </x:c>
      <x:c r="F45" s="70" t="str">
        <x:v>Statistical anomaly</x:v>
      </x:c>
      <x:c r="G45" s="70" t="n">
        <x:v>2</x:v>
      </x:c>
      <x:c r="H45" s="70" t="str">
        <x:v>SCORED</x:v>
      </x:c>
      <x:c r="I45" s="70" t="str">
        <x:v>Initial</x:v>
      </x:c>
      <x:c r="J45" s="70" t="str">
        <x:v>MVP1-B</x:v>
      </x:c>
    </x:row>
    <x:row r="46">
      <x:c r="A46" s="70" t="n">
        <x:v>41</x:v>
      </x:c>
      <x:c r="B46" s="70" t="str">
        <x:v>BR-02</x:v>
      </x:c>
      <x:c r="C46" s="70" t="str">
        <x:v>DRIFT</x:v>
      </x:c>
      <x:c r="D46" s="70" t="str">
        <x:v>07 Business Reality</x:v>
      </x:c>
      <x:c r="E46" s="70" t="str">
        <x:v>Inventory freshness SLA</x:v>
      </x:c>
      <x:c r="F46" s="70" t="str">
        <x:v>Freshness</x:v>
      </x:c>
      <x:c r="G46" s="70" t="n">
        <x:v>4</x:v>
      </x:c>
      <x:c r="H46" s="70" t="str">
        <x:v>SCORED</x:v>
      </x:c>
      <x:c r="I46" s="70" t="str">
        <x:v>Initial + Recurring</x:v>
      </x:c>
      <x:c r="J46" s="70" t="str">
        <x:v>MVP1-B</x:v>
      </x:c>
    </x:row>
    <x:row r="47">
      <x:c r="A47" s="72" t="n">
        <x:v>42</x:v>
      </x:c>
      <x:c r="B47" s="72" t="str">
        <x:v>BR-12</x:v>
      </x:c>
      <x:c r="C47" s="72" t="str">
        <x:v>DRIFT</x:v>
      </x:c>
      <x:c r="D47" s="72" t="str">
        <x:v>07 Business Reality</x:v>
      </x:c>
      <x:c r="E47" s="72" t="str">
        <x:v>ERP sync freshness heartbeat</x:v>
      </x:c>
      <x:c r="F47" s="72" t="str">
        <x:v>Freshness</x:v>
      </x:c>
      <x:c r="G47" s="72" t="n">
        <x:v>2</x:v>
      </x:c>
      <x:c r="H47" s="72" t="str">
        <x:v>SCORED</x:v>
      </x:c>
      <x:c r="I47" s="72" t="str">
        <x:v>Recurring</x:v>
      </x:c>
      <x:c r="J47" s="72" t="str">
        <x:v>MVP1-B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 ht="34" customHeight="1">
      <x:c r="A1" s="36" t="str">
        <x:v>Lumera Worked Scoring Example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30" customHeight="1">
      <x:c r="A2" s="39" t="str">
        <x:v>Golden tenant example using the exact 42-check MVP1 scope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26" customHeight="1">
      <x:c r="A3" s="42" t="str">
        <x:v>Illustrative fixture for deterministic tests; not a claim about a real tenant.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</x:row>
    <x:row r="5" ht="32" customHeight="1">
      <x:c r="A5" s="51" t="str">
        <x:v>Check ID</x:v>
      </x:c>
      <x:c r="B5" s="52" t="str">
        <x:v>Class</x:v>
      </x:c>
      <x:c r="C5" s="52" t="str">
        <x:v>Dimension</x:v>
      </x:c>
      <x:c r="D5" s="52" t="str">
        <x:v>Weight</x:v>
      </x:c>
      <x:c r="E5" s="52" t="str">
        <x:v>Result</x:v>
      </x:c>
      <x:c r="F5" s="52" t="str">
        <x:v>Result Factor</x:v>
      </x:c>
      <x:c r="G5" s="52" t="str">
        <x:v>Confidence</x:v>
      </x:c>
      <x:c r="H5" s="52" t="str">
        <x:v>Confidence Factor</x:v>
      </x:c>
      <x:c r="I5" s="52" t="str">
        <x:v>Earned Weight</x:v>
      </x:c>
      <x:c r="J5" s="52" t="str">
        <x:v>Eligible Weight</x:v>
      </x:c>
      <x:c r="K5" s="53" t="str">
        <x:v>Confidence Weight</x:v>
      </x:c>
      <x:c r="L5" s="79" t="str">
        <x:v>Dimension</x:v>
      </x:c>
      <x:c r="M5" s="79" t="str">
        <x:v>Weight %</x:v>
      </x:c>
      <x:c r="N5" s="79" t="str">
        <x:v>Scoped Weight</x:v>
      </x:c>
      <x:c r="O5" s="79" t="str">
        <x:v>Eligible Weight</x:v>
      </x:c>
      <x:c r="P5" s="79" t="str">
        <x:v>Earned Weight</x:v>
      </x:c>
      <x:c r="Q5" s="79" t="str">
        <x:v>Sub-score</x:v>
      </x:c>
      <x:c r="R5" s="79" t="str">
        <x:v>Coverage</x:v>
      </x:c>
      <x:c r="S5" s="79" t="str">
        <x:v>Confidence</x:v>
      </x:c>
    </x:row>
    <x:row r="6">
      <x:c r="A6" s="68" t="str">
        <x:v>FD-01</x:v>
      </x:c>
      <x:c r="B6" s="68" t="str">
        <x:v>RULE_BASED</x:v>
      </x:c>
      <x:c r="C6" s="68" t="str">
        <x:v>00 Foundation Gate</x:v>
      </x:c>
      <x:c r="D6" s="68" t="n">
        <x:v>0</x:v>
      </x:c>
      <x:c r="E6" s="68" t="str">
        <x:v>PASS</x:v>
      </x:c>
      <x:c r="F6" s="68" t="n">
        <x:f>IF(E6="PASS",1,IF(E6="WARN",0.5,IF(E6="FAIL",0,"")))</x:f>
        <x:v>1</x:v>
      </x:c>
      <x:c r="G6" s="68" t="str">
        <x:v>HIGH</x:v>
      </x:c>
      <x:c r="H6" s="68" t="n">
        <x:f>IF(G6="HIGH",1,IF(G6="MEDIUM",0.7,0.4))</x:f>
        <x:v>1</x:v>
      </x:c>
      <x:c r="I6" s="68" t="n">
        <x:f>IF(D6=0,0,D6*F6)</x:f>
        <x:v>0</x:v>
      </x:c>
      <x:c r="J6" s="68" t="n">
        <x:f>IF(OR(E6="PASS",E6="WARN",E6="FAIL"),D6,0)</x:f>
        <x:v>0</x:v>
      </x:c>
      <x:c r="K6" s="68" t="n">
        <x:f>J6*H6</x:f>
        <x:v>0</x:v>
      </x:c>
      <x:c r="L6" t="str">
        <x:v>01 Customer Identity</x:v>
      </x:c>
      <x:c r="M6" t="n">
        <x:v>18</x:v>
      </x:c>
      <x:c r="N6" t="n">
        <x:v>22</x:v>
      </x:c>
      <x:c r="O6" t="n">
        <x:f>SUMIF($C$6:$C$47,L6,$J$6:$J$47)</x:f>
        <x:v>22</x:v>
      </x:c>
      <x:c r="P6" t="n">
        <x:f>SUMIF($C$6:$C$47,L6,$I$6:$I$47)</x:f>
        <x:v>18</x:v>
      </x:c>
      <x:c r="Q6" s="81" t="n">
        <x:f>IF(O6=0,"",100*P6/O6)</x:f>
        <x:v>81.81818181818181</x:v>
      </x:c>
      <x:c r="R6" s="82" t="n">
        <x:f>IF(N6=0,1,O6/N6)</x:f>
        <x:v>1</x:v>
      </x:c>
      <x:c r="S6" s="82" t="n">
        <x:f>IF(O6=0,0,SUMIF($C$6:$C$47,L6,$K$6:$K$47)/O6)</x:f>
        <x:v>1</x:v>
      </x:c>
    </x:row>
    <x:row r="7">
      <x:c r="A7" s="70" t="str">
        <x:v>FD-02</x:v>
      </x:c>
      <x:c r="B7" s="70" t="str">
        <x:v>RULE_BASED</x:v>
      </x:c>
      <x:c r="C7" s="70" t="str">
        <x:v>00 Foundation Gate</x:v>
      </x:c>
      <x:c r="D7" s="70" t="n">
        <x:v>0</x:v>
      </x:c>
      <x:c r="E7" s="70" t="str">
        <x:v>PASS</x:v>
      </x:c>
      <x:c r="F7" s="70" t="n">
        <x:f>IF(E7="PASS",1,IF(E7="WARN",0.5,IF(E7="FAIL",0,"")))</x:f>
        <x:v>1</x:v>
      </x:c>
      <x:c r="G7" s="70" t="str">
        <x:v>HIGH</x:v>
      </x:c>
      <x:c r="H7" s="70" t="n">
        <x:f>IF(G7="HIGH",1,IF(G7="MEDIUM",0.7,0.4))</x:f>
        <x:v>1</x:v>
      </x:c>
      <x:c r="I7" s="70" t="n">
        <x:f>IF(D7=0,0,D7*F7)</x:f>
        <x:v>0</x:v>
      </x:c>
      <x:c r="J7" s="70" t="n">
        <x:f>IF(OR(E7="PASS",E7="WARN",E7="FAIL"),D7,0)</x:f>
        <x:v>0</x:v>
      </x:c>
      <x:c r="K7" s="70" t="n">
        <x:f>J7*H7</x:f>
        <x:v>0</x:v>
      </x:c>
      <x:c r="L7" t="str">
        <x:v>02 Lifecycle Event</x:v>
      </x:c>
      <x:c r="M7" t="n">
        <x:v>18</x:v>
      </x:c>
      <x:c r="N7" t="n">
        <x:v>32</x:v>
      </x:c>
      <x:c r="O7" t="n">
        <x:f>SUMIF($C$6:$C$47,L7,$J$6:$J$47)</x:f>
        <x:v>32</x:v>
      </x:c>
      <x:c r="P7" t="n">
        <x:f>SUMIF($C$6:$C$47,L7,$I$6:$I$47)</x:f>
        <x:v>26</x:v>
      </x:c>
      <x:c r="Q7" s="81" t="n">
        <x:f>IF(O7=0,"",100*P7/O7)</x:f>
        <x:v>81.25</x:v>
      </x:c>
      <x:c r="R7" s="82" t="n">
        <x:f>IF(N7=0,1,O7/N7)</x:f>
        <x:v>1</x:v>
      </x:c>
      <x:c r="S7" s="82" t="n">
        <x:f>IF(O7=0,0,SUMIF($C$6:$C$47,L7,$K$6:$K$47)/O7)</x:f>
        <x:v>1</x:v>
      </x:c>
    </x:row>
    <x:row r="8">
      <x:c r="A8" s="70" t="str">
        <x:v>FD-03</x:v>
      </x:c>
      <x:c r="B8" s="70" t="str">
        <x:v>RULE_BASED</x:v>
      </x:c>
      <x:c r="C8" s="70" t="str">
        <x:v>00 Foundation Gate</x:v>
      </x:c>
      <x:c r="D8" s="70" t="n">
        <x:v>0</x:v>
      </x:c>
      <x:c r="E8" s="70" t="str">
        <x:v>PASS</x:v>
      </x:c>
      <x:c r="F8" s="70" t="n">
        <x:f>IF(E8="PASS",1,IF(E8="WARN",0.5,IF(E8="FAIL",0,"")))</x:f>
        <x:v>1</x:v>
      </x:c>
      <x:c r="G8" s="70" t="str">
        <x:v>HIGH</x:v>
      </x:c>
      <x:c r="H8" s="70" t="n">
        <x:f>IF(G8="HIGH",1,IF(G8="MEDIUM",0.7,0.4))</x:f>
        <x:v>1</x:v>
      </x:c>
      <x:c r="I8" s="70" t="n">
        <x:f>IF(D8=0,0,D8*F8)</x:f>
        <x:v>0</x:v>
      </x:c>
      <x:c r="J8" s="70" t="n">
        <x:f>IF(OR(E8="PASS",E8="WARN",E8="FAIL"),D8,0)</x:f>
        <x:v>0</x:v>
      </x:c>
      <x:c r="K8" s="70" t="n">
        <x:f>J8*H8</x:f>
        <x:v>0</x:v>
      </x:c>
      <x:c r="L8" t="str">
        <x:v>03 Product &amp; Transaction</x:v>
      </x:c>
      <x:c r="M8" t="n">
        <x:v>14</x:v>
      </x:c>
      <x:c r="N8" t="n">
        <x:v>14</x:v>
      </x:c>
      <x:c r="O8" t="n">
        <x:f>SUMIF($C$6:$C$47,L8,$J$6:$J$47)</x:f>
        <x:v>14</x:v>
      </x:c>
      <x:c r="P8" t="n">
        <x:f>SUMIF($C$6:$C$47,L8,$I$6:$I$47)</x:f>
        <x:v>14</x:v>
      </x:c>
      <x:c r="Q8" s="81" t="n">
        <x:f>IF(O8=0,"",100*P8/O8)</x:f>
        <x:v>100</x:v>
      </x:c>
      <x:c r="R8" s="82" t="n">
        <x:f>IF(N8=0,1,O8/N8)</x:f>
        <x:v>1</x:v>
      </x:c>
      <x:c r="S8" s="82" t="n">
        <x:f>IF(O8=0,0,SUMIF($C$6:$C$47,L8,$K$6:$K$47)/O8)</x:f>
        <x:v>1</x:v>
      </x:c>
    </x:row>
    <x:row r="9">
      <x:c r="A9" s="70" t="str">
        <x:v>FD-04</x:v>
      </x:c>
      <x:c r="B9" s="70" t="str">
        <x:v>RULE_BASED</x:v>
      </x:c>
      <x:c r="C9" s="70" t="str">
        <x:v>00 Foundation Gate</x:v>
      </x:c>
      <x:c r="D9" s="70" t="n">
        <x:v>0</x:v>
      </x:c>
      <x:c r="E9" s="70" t="str">
        <x:v>PASS</x:v>
      </x:c>
      <x:c r="F9" s="70" t="n">
        <x:f>IF(E9="PASS",1,IF(E9="WARN",0.5,IF(E9="FAIL",0,"")))</x:f>
        <x:v>1</x:v>
      </x:c>
      <x:c r="G9" s="70" t="str">
        <x:v>HIGH</x:v>
      </x:c>
      <x:c r="H9" s="70" t="n">
        <x:f>IF(G9="HIGH",1,IF(G9="MEDIUM",0.7,0.4))</x:f>
        <x:v>1</x:v>
      </x:c>
      <x:c r="I9" s="70" t="n">
        <x:f>IF(D9=0,0,D9*F9)</x:f>
        <x:v>0</x:v>
      </x:c>
      <x:c r="J9" s="70" t="n">
        <x:f>IF(OR(E9="PASS",E9="WARN",E9="FAIL"),D9,0)</x:f>
        <x:v>0</x:v>
      </x:c>
      <x:c r="K9" s="70" t="n">
        <x:f>J9*H9</x:f>
        <x:v>0</x:v>
      </x:c>
      <x:c r="L9" t="str">
        <x:v>04 Segment &amp; Property</x:v>
      </x:c>
      <x:c r="M9" t="n">
        <x:v>12</x:v>
      </x:c>
      <x:c r="N9" t="n">
        <x:v>15</x:v>
      </x:c>
      <x:c r="O9" t="n">
        <x:f>SUMIF($C$6:$C$47,L9,$J$6:$J$47)</x:f>
        <x:v>15</x:v>
      </x:c>
      <x:c r="P9" t="n">
        <x:f>SUMIF($C$6:$C$47,L9,$I$6:$I$47)</x:f>
        <x:v>13</x:v>
      </x:c>
      <x:c r="Q9" s="81" t="n">
        <x:f>IF(O9=0,"",100*P9/O9)</x:f>
        <x:v>86.66666666666667</x:v>
      </x:c>
      <x:c r="R9" s="82" t="n">
        <x:f>IF(N9=0,1,O9/N9)</x:f>
        <x:v>1</x:v>
      </x:c>
      <x:c r="S9" s="82" t="n">
        <x:f>IF(O9=0,0,SUMIF($C$6:$C$47,L9,$K$6:$K$47)/O9)</x:f>
        <x:v>1</x:v>
      </x:c>
    </x:row>
    <x:row r="10">
      <x:c r="A10" s="70" t="str">
        <x:v>FD-05</x:v>
      </x:c>
      <x:c r="B10" s="70" t="str">
        <x:v>RULE_BASED</x:v>
      </x:c>
      <x:c r="C10" s="70" t="str">
        <x:v>00 Foundation Gate</x:v>
      </x:c>
      <x:c r="D10" s="70" t="n">
        <x:v>0</x:v>
      </x:c>
      <x:c r="E10" s="70" t="str">
        <x:v>PASS</x:v>
      </x:c>
      <x:c r="F10" s="70" t="n">
        <x:f>IF(E10="PASS",1,IF(E10="WARN",0.5,IF(E10="FAIL",0,"")))</x:f>
        <x:v>1</x:v>
      </x:c>
      <x:c r="G10" s="70" t="str">
        <x:v>HIGH</x:v>
      </x:c>
      <x:c r="H10" s="70" t="n">
        <x:f>IF(G10="HIGH",1,IF(G10="MEDIUM",0.7,0.4))</x:f>
        <x:v>1</x:v>
      </x:c>
      <x:c r="I10" s="70" t="n">
        <x:f>IF(D10=0,0,D10*F10)</x:f>
        <x:v>0</x:v>
      </x:c>
      <x:c r="J10" s="70" t="n">
        <x:f>IF(OR(E10="PASS",E10="WARN",E10="FAIL"),D10,0)</x:f>
        <x:v>0</x:v>
      </x:c>
      <x:c r="K10" s="70" t="n">
        <x:f>J10*H10</x:f>
        <x:v>0</x:v>
      </x:c>
      <x:c r="L10" t="str">
        <x:v>05 Channel &amp; Consent</x:v>
      </x:c>
      <x:c r="M10" t="n">
        <x:v>18</x:v>
      </x:c>
      <x:c r="N10" t="n">
        <x:v>17</x:v>
      </x:c>
      <x:c r="O10" t="n">
        <x:f>SUMIF($C$6:$C$47,L10,$J$6:$J$47)</x:f>
        <x:v>17</x:v>
      </x:c>
      <x:c r="P10" t="n">
        <x:f>SUMIF($C$6:$C$47,L10,$I$6:$I$47)</x:f>
        <x:v>13</x:v>
      </x:c>
      <x:c r="Q10" s="81" t="n">
        <x:f>IF(O10=0,"",100*P10/O10)</x:f>
        <x:v>76.47058823529412</x:v>
      </x:c>
      <x:c r="R10" s="82" t="n">
        <x:f>IF(N10=0,1,O10/N10)</x:f>
        <x:v>1</x:v>
      </x:c>
      <x:c r="S10" s="82" t="n">
        <x:f>IF(O10=0,0,SUMIF($C$6:$C$47,L10,$K$6:$K$47)/O10)</x:f>
        <x:v>1</x:v>
      </x:c>
    </x:row>
    <x:row r="11">
      <x:c r="A11" s="70" t="str">
        <x:v>FD-06</x:v>
      </x:c>
      <x:c r="B11" s="70" t="str">
        <x:v>RULE_BASED</x:v>
      </x:c>
      <x:c r="C11" s="70" t="str">
        <x:v>00 Foundation Gate</x:v>
      </x:c>
      <x:c r="D11" s="70" t="n">
        <x:v>0</x:v>
      </x:c>
      <x:c r="E11" s="70" t="str">
        <x:v>PASS</x:v>
      </x:c>
      <x:c r="F11" s="70" t="n">
        <x:f>IF(E11="PASS",1,IF(E11="WARN",0.5,IF(E11="FAIL",0,"")))</x:f>
        <x:v>1</x:v>
      </x:c>
      <x:c r="G11" s="70" t="str">
        <x:v>HIGH</x:v>
      </x:c>
      <x:c r="H11" s="70" t="n">
        <x:f>IF(G11="HIGH",1,IF(G11="MEDIUM",0.7,0.4))</x:f>
        <x:v>1</x:v>
      </x:c>
      <x:c r="I11" s="70" t="n">
        <x:f>IF(D11=0,0,D11*F11)</x:f>
        <x:v>0</x:v>
      </x:c>
      <x:c r="J11" s="70" t="n">
        <x:f>IF(OR(E11="PASS",E11="WARN",E11="FAIL"),D11,0)</x:f>
        <x:v>0</x:v>
      </x:c>
      <x:c r="K11" s="70" t="n">
        <x:f>J11*H11</x:f>
        <x:v>0</x:v>
      </x:c>
      <x:c r="L11" t="str">
        <x:v>06 Measurement</x:v>
      </x:c>
      <x:c r="M11" t="n">
        <x:v>10</x:v>
      </x:c>
      <x:c r="N11" t="n">
        <x:v>8</x:v>
      </x:c>
      <x:c r="O11" t="n">
        <x:f>SUMIF($C$6:$C$47,L11,$J$6:$J$47)</x:f>
        <x:v>8</x:v>
      </x:c>
      <x:c r="P11" t="n">
        <x:f>SUMIF($C$6:$C$47,L11,$I$6:$I$47)</x:f>
        <x:v>7</x:v>
      </x:c>
      <x:c r="Q11" s="81" t="n">
        <x:f>IF(O11=0,"",100*P11/O11)</x:f>
        <x:v>87.5</x:v>
      </x:c>
      <x:c r="R11" s="82" t="n">
        <x:f>IF(N11=0,1,O11/N11)</x:f>
        <x:v>1</x:v>
      </x:c>
      <x:c r="S11" s="82" t="n">
        <x:f>IF(O11=0,0,SUMIF($C$6:$C$47,L11,$K$6:$K$47)/O11)</x:f>
        <x:v>0.925</x:v>
      </x:c>
    </x:row>
    <x:row r="12">
      <x:c r="A12" s="70" t="str">
        <x:v>FD-07</x:v>
      </x:c>
      <x:c r="B12" s="70" t="str">
        <x:v>RULE_BASED</x:v>
      </x:c>
      <x:c r="C12" s="70" t="str">
        <x:v>00 Foundation Gate</x:v>
      </x:c>
      <x:c r="D12" s="70" t="n">
        <x:v>0</x:v>
      </x:c>
      <x:c r="E12" s="70" t="str">
        <x:v>PASS</x:v>
      </x:c>
      <x:c r="F12" s="70" t="n">
        <x:f>IF(E12="PASS",1,IF(E12="WARN",0.5,IF(E12="FAIL",0,"")))</x:f>
        <x:v>1</x:v>
      </x:c>
      <x:c r="G12" s="70" t="str">
        <x:v>HIGH</x:v>
      </x:c>
      <x:c r="H12" s="70" t="n">
        <x:f>IF(G12="HIGH",1,IF(G12="MEDIUM",0.7,0.4))</x:f>
        <x:v>1</x:v>
      </x:c>
      <x:c r="I12" s="70" t="n">
        <x:f>IF(D12=0,0,D12*F12)</x:f>
        <x:v>0</x:v>
      </x:c>
      <x:c r="J12" s="70" t="n">
        <x:f>IF(OR(E12="PASS",E12="WARN",E12="FAIL"),D12,0)</x:f>
        <x:v>0</x:v>
      </x:c>
      <x:c r="K12" s="70" t="n">
        <x:f>J12*H12</x:f>
        <x:v>0</x:v>
      </x:c>
      <x:c r="L12" t="str">
        <x:v>07 Business Reality</x:v>
      </x:c>
      <x:c r="M12" t="n">
        <x:v>10</x:v>
      </x:c>
      <x:c r="N12" t="n">
        <x:v>10</x:v>
      </x:c>
      <x:c r="O12" t="n">
        <x:f>SUMIF($C$6:$C$47,L12,$J$6:$J$47)</x:f>
        <x:v>10</x:v>
      </x:c>
      <x:c r="P12" t="n">
        <x:f>SUMIF($C$6:$C$47,L12,$I$6:$I$47)</x:f>
        <x:v>8</x:v>
      </x:c>
      <x:c r="Q12" s="81" t="n">
        <x:f>IF(O12=0,"",100*P12/O12)</x:f>
        <x:v>80</x:v>
      </x:c>
      <x:c r="R12" s="82" t="n">
        <x:f>IF(N12=0,1,O12/N12)</x:f>
        <x:v>1</x:v>
      </x:c>
      <x:c r="S12" s="82" t="n">
        <x:f>IF(O12=0,0,SUMIF($C$6:$C$47,L12,$K$6:$K$47)/O12)</x:f>
        <x:v>1</x:v>
      </x:c>
    </x:row>
    <x:row r="13">
      <x:c r="A13" s="70" t="str">
        <x:v>CI-01</x:v>
      </x:c>
      <x:c r="B13" s="70" t="str">
        <x:v>RULE_BASED</x:v>
      </x:c>
      <x:c r="C13" s="70" t="str">
        <x:v>01 Customer Identity</x:v>
      </x:c>
      <x:c r="D13" s="70" t="n">
        <x:v>4</x:v>
      </x:c>
      <x:c r="E13" s="70" t="str">
        <x:v>PASS</x:v>
      </x:c>
      <x:c r="F13" s="70" t="n">
        <x:f>IF(E13="PASS",1,IF(E13="WARN",0.5,IF(E13="FAIL",0,"")))</x:f>
        <x:v>1</x:v>
      </x:c>
      <x:c r="G13" s="70" t="str">
        <x:v>HIGH</x:v>
      </x:c>
      <x:c r="H13" s="70" t="n">
        <x:f>IF(G13="HIGH",1,IF(G13="MEDIUM",0.7,0.4))</x:f>
        <x:v>1</x:v>
      </x:c>
      <x:c r="I13" s="70" t="n">
        <x:f>IF(D13=0,0,D13*F13)</x:f>
        <x:v>4</x:v>
      </x:c>
      <x:c r="J13" s="70" t="n">
        <x:f>IF(OR(E13="PASS",E13="WARN",E13="FAIL"),D13,0)</x:f>
        <x:v>4</x:v>
      </x:c>
      <x:c r="K13" s="70" t="n">
        <x:f>J13*H13</x:f>
        <x:v>4</x:v>
      </x:c>
    </x:row>
    <x:row r="14">
      <x:c r="A14" s="70" t="str">
        <x:v>CI-02</x:v>
      </x:c>
      <x:c r="B14" s="70" t="str">
        <x:v>RULE_BASED</x:v>
      </x:c>
      <x:c r="C14" s="70" t="str">
        <x:v>01 Customer Identity</x:v>
      </x:c>
      <x:c r="D14" s="70" t="n">
        <x:v>4</x:v>
      </x:c>
      <x:c r="E14" s="70" t="str">
        <x:v>PASS</x:v>
      </x:c>
      <x:c r="F14" s="70" t="n">
        <x:f>IF(E14="PASS",1,IF(E14="WARN",0.5,IF(E14="FAIL",0,"")))</x:f>
        <x:v>1</x:v>
      </x:c>
      <x:c r="G14" s="70" t="str">
        <x:v>HIGH</x:v>
      </x:c>
      <x:c r="H14" s="70" t="n">
        <x:f>IF(G14="HIGH",1,IF(G14="MEDIUM",0.7,0.4))</x:f>
        <x:v>1</x:v>
      </x:c>
      <x:c r="I14" s="70" t="n">
        <x:f>IF(D14=0,0,D14*F14)</x:f>
        <x:v>4</x:v>
      </x:c>
      <x:c r="J14" s="70" t="n">
        <x:f>IF(OR(E14="PASS",E14="WARN",E14="FAIL"),D14,0)</x:f>
        <x:v>4</x:v>
      </x:c>
      <x:c r="K14" s="70" t="n">
        <x:f>J14*H14</x:f>
        <x:v>4</x:v>
      </x:c>
    </x:row>
    <x:row r="15">
      <x:c r="A15" s="70" t="str">
        <x:v>CI-03</x:v>
      </x:c>
      <x:c r="B15" s="70" t="str">
        <x:v>RULE_BASED</x:v>
      </x:c>
      <x:c r="C15" s="70" t="str">
        <x:v>01 Customer Identity</x:v>
      </x:c>
      <x:c r="D15" s="70" t="n">
        <x:v>4</x:v>
      </x:c>
      <x:c r="E15" s="70" t="str">
        <x:v>FAIL</x:v>
      </x:c>
      <x:c r="F15" s="70" t="n">
        <x:f>IF(E15="PASS",1,IF(E15="WARN",0.5,IF(E15="FAIL",0,"")))</x:f>
        <x:v>0</x:v>
      </x:c>
      <x:c r="G15" s="70" t="str">
        <x:v>HIGH</x:v>
      </x:c>
      <x:c r="H15" s="70" t="n">
        <x:f>IF(G15="HIGH",1,IF(G15="MEDIUM",0.7,0.4))</x:f>
        <x:v>1</x:v>
      </x:c>
      <x:c r="I15" s="70" t="n">
        <x:f>IF(D15=0,0,D15*F15)</x:f>
        <x:v>0</x:v>
      </x:c>
      <x:c r="J15" s="70" t="n">
        <x:f>IF(OR(E15="PASS",E15="WARN",E15="FAIL"),D15,0)</x:f>
        <x:v>4</x:v>
      </x:c>
      <x:c r="K15" s="70" t="n">
        <x:f>J15*H15</x:f>
        <x:v>4</x:v>
      </x:c>
      <x:c r="L15" s="80" t="str">
        <x:v>Output</x:v>
      </x:c>
      <x:c r="M15" s="80" t="str">
        <x:v>Value</x:v>
      </x:c>
      <x:c r="N15" s="80" t="str">
        <x:v>Rule</x:v>
      </x:c>
      <x:c r="O15" s="80" t="str">
        <x:v>Expected fixture</x:v>
      </x:c>
      <x:c r="P15" s="80" t="str">
        <x:v>Notes</x:v>
      </x:c>
    </x:row>
    <x:row r="16">
      <x:c r="A16" s="70" t="str">
        <x:v>CI-05</x:v>
      </x:c>
      <x:c r="B16" s="70" t="str">
        <x:v>RULE_BASED</x:v>
      </x:c>
      <x:c r="C16" s="70" t="str">
        <x:v>01 Customer Identity</x:v>
      </x:c>
      <x:c r="D16" s="70" t="n">
        <x:v>4</x:v>
      </x:c>
      <x:c r="E16" s="70" t="str">
        <x:v>PASS</x:v>
      </x:c>
      <x:c r="F16" s="70" t="n">
        <x:f>IF(E16="PASS",1,IF(E16="WARN",0.5,IF(E16="FAIL",0,"")))</x:f>
        <x:v>1</x:v>
      </x:c>
      <x:c r="G16" s="70" t="str">
        <x:v>HIGH</x:v>
      </x:c>
      <x:c r="H16" s="70" t="n">
        <x:f>IF(G16="HIGH",1,IF(G16="MEDIUM",0.7,0.4))</x:f>
        <x:v>1</x:v>
      </x:c>
      <x:c r="I16" s="70" t="n">
        <x:f>IF(D16=0,0,D16*F16)</x:f>
        <x:v>4</x:v>
      </x:c>
      <x:c r="J16" s="70" t="n">
        <x:f>IF(OR(E16="PASS",E16="WARN",E16="FAIL"),D16,0)</x:f>
        <x:v>4</x:v>
      </x:c>
      <x:c r="K16" s="70" t="n">
        <x:f>J16*H16</x:f>
        <x:v>4</x:v>
      </x:c>
      <x:c r="L16" t="str">
        <x:v>Blocking gates failed</x:v>
      </x:c>
      <x:c r="M16" t="n">
        <x:f>COUNTIFS($A$6:$A$47,"FD-*",$E$6:$E$47,"FAIL")</x:f>
        <x:v>0</x:v>
      </x:c>
      <x:c r="N16" t="str">
        <x:v>COUNT of FD-* with FAIL</x:v>
      </x:c>
      <x:c r="O16" t="n">
        <x:v>0</x:v>
      </x:c>
      <x:c r="P16" t="str">
        <x:v>All foundation gates pass in Lumera fixture</x:v>
      </x:c>
    </x:row>
    <x:row r="17">
      <x:c r="A17" s="70" t="str">
        <x:v>LE-01</x:v>
      </x:c>
      <x:c r="B17" s="70" t="str">
        <x:v>RULE_BASED</x:v>
      </x:c>
      <x:c r="C17" s="70" t="str">
        <x:v>02 Lifecycle Event</x:v>
      </x:c>
      <x:c r="D17" s="70" t="n">
        <x:v>4</x:v>
      </x:c>
      <x:c r="E17" s="70" t="str">
        <x:v>PASS</x:v>
      </x:c>
      <x:c r="F17" s="70" t="n">
        <x:f>IF(E17="PASS",1,IF(E17="WARN",0.5,IF(E17="FAIL",0,"")))</x:f>
        <x:v>1</x:v>
      </x:c>
      <x:c r="G17" s="70" t="str">
        <x:v>HIGH</x:v>
      </x:c>
      <x:c r="H17" s="70" t="n">
        <x:f>IF(G17="HIGH",1,IF(G17="MEDIUM",0.7,0.4))</x:f>
        <x:v>1</x:v>
      </x:c>
      <x:c r="I17" s="70" t="n">
        <x:f>IF(D17=0,0,D17*F17)</x:f>
        <x:v>4</x:v>
      </x:c>
      <x:c r="J17" s="70" t="n">
        <x:f>IF(OR(E17="PASS",E17="WARN",E17="FAIL"),D17,0)</x:f>
        <x:v>4</x:v>
      </x:c>
      <x:c r="K17" s="70" t="n">
        <x:f>J17*H17</x:f>
        <x:v>4</x:v>
      </x:c>
      <x:c r="L17" t="str">
        <x:v>Headline DCS</x:v>
      </x:c>
      <x:c r="M17" s="81" t="n">
        <x:f>SUMPRODUCT($M$6:$M$12,$Q$6:$Q$12)/SUM($M$6:$M$12)</x:f>
        <x:v>84.26697860962565</x:v>
      </x:c>
      <x:c r="N17" t="str">
        <x:v>Weighted average of seven sub-scores</x:v>
      </x:c>
      <x:c r="O17"/>
      <x:c r="P17" t="str">
        <x:v>Stored to 4 decimals; UI rounds to whole number</x:v>
      </x:c>
    </x:row>
    <x:row r="18">
      <x:c r="A18" s="70" t="str">
        <x:v>LE-02</x:v>
      </x:c>
      <x:c r="B18" s="70" t="str">
        <x:v>RULE_BASED</x:v>
      </x:c>
      <x:c r="C18" s="70" t="str">
        <x:v>02 Lifecycle Event</x:v>
      </x:c>
      <x:c r="D18" s="70" t="n">
        <x:v>4</x:v>
      </x:c>
      <x:c r="E18" s="70" t="str">
        <x:v>PASS</x:v>
      </x:c>
      <x:c r="F18" s="70" t="n">
        <x:f>IF(E18="PASS",1,IF(E18="WARN",0.5,IF(E18="FAIL",0,"")))</x:f>
        <x:v>1</x:v>
      </x:c>
      <x:c r="G18" s="70" t="str">
        <x:v>HIGH</x:v>
      </x:c>
      <x:c r="H18" s="70" t="n">
        <x:f>IF(G18="HIGH",1,IF(G18="MEDIUM",0.7,0.4))</x:f>
        <x:v>1</x:v>
      </x:c>
      <x:c r="I18" s="70" t="n">
        <x:f>IF(D18=0,0,D18*F18)</x:f>
        <x:v>4</x:v>
      </x:c>
      <x:c r="J18" s="70" t="n">
        <x:f>IF(OR(E18="PASS",E18="WARN",E18="FAIL"),D18,0)</x:f>
        <x:v>4</x:v>
      </x:c>
      <x:c r="K18" s="70" t="n">
        <x:f>J18*H18</x:f>
        <x:v>4</x:v>
      </x:c>
      <x:c r="L18" t="str">
        <x:v>Score state</x:v>
      </x:c>
      <x:c r="M18" t="str">
        <x:f>IF(M16&gt;0,"BLOCKED",IF(MIN($R$6:$R$12)&lt;0.8,"INCOMPLETE",IF(M17&gt;=90,"READY",IF(M17&gt;=70,"CONDITIONALLY_READY",IF(M17&gt;=50,"REMEDIATE","BLOCKED")))))</x:f>
        <x:v>CONDITIONALLY_READY</x:v>
      </x:c>
      <x:c r="N18" t="str">
        <x:v>Gate → coverage → threshold</x:v>
      </x:c>
      <x:c r="O18"/>
      <x:c r="P18" t="str">
        <x:v>Expected CONDITIONALLY_READY</x:v>
      </x:c>
    </x:row>
    <x:row r="19">
      <x:c r="A19" s="70" t="str">
        <x:v>LE-03</x:v>
      </x:c>
      <x:c r="B19" s="70" t="str">
        <x:v>RULE_BASED</x:v>
      </x:c>
      <x:c r="C19" s="70" t="str">
        <x:v>02 Lifecycle Event</x:v>
      </x:c>
      <x:c r="D19" s="70" t="n">
        <x:v>4</x:v>
      </x:c>
      <x:c r="E19" s="70" t="str">
        <x:v>PASS</x:v>
      </x:c>
      <x:c r="F19" s="70" t="n">
        <x:f>IF(E19="PASS",1,IF(E19="WARN",0.5,IF(E19="FAIL",0,"")))</x:f>
        <x:v>1</x:v>
      </x:c>
      <x:c r="G19" s="70" t="str">
        <x:v>HIGH</x:v>
      </x:c>
      <x:c r="H19" s="70" t="n">
        <x:f>IF(G19="HIGH",1,IF(G19="MEDIUM",0.7,0.4))</x:f>
        <x:v>1</x:v>
      </x:c>
      <x:c r="I19" s="70" t="n">
        <x:f>IF(D19=0,0,D19*F19)</x:f>
        <x:v>4</x:v>
      </x:c>
      <x:c r="J19" s="70" t="n">
        <x:f>IF(OR(E19="PASS",E19="WARN",E19="FAIL"),D19,0)</x:f>
        <x:v>4</x:v>
      </x:c>
      <x:c r="K19" s="70" t="n">
        <x:f>J19*H19</x:f>
        <x:v>4</x:v>
      </x:c>
      <x:c r="L19" t="str">
        <x:v>Pilot workflows unblocked</x:v>
      </x:c>
      <x:c r="M19" t="str">
        <x:v>See lumera_expected_results/workflow_readiness.json</x:v>
      </x:c>
      <x:c r="N19" t="str">
        <x:v>Required checks all PASS/approved WARN</x:v>
      </x:c>
      <x:c r="O19"/>
      <x:c r="P19" t="str">
        <x:v>Calculated in expected fixture JSON</x:v>
      </x:c>
    </x:row>
    <x:row r="20">
      <x:c r="A20" s="70" t="str">
        <x:v>LE-04</x:v>
      </x:c>
      <x:c r="B20" s="70" t="str">
        <x:v>RULE_BASED</x:v>
      </x:c>
      <x:c r="C20" s="70" t="str">
        <x:v>02 Lifecycle Event</x:v>
      </x:c>
      <x:c r="D20" s="70" t="n">
        <x:v>4</x:v>
      </x:c>
      <x:c r="E20" s="70" t="str">
        <x:v>FAIL</x:v>
      </x:c>
      <x:c r="F20" s="70" t="n">
        <x:f>IF(E20="PASS",1,IF(E20="WARN",0.5,IF(E20="FAIL",0,"")))</x:f>
        <x:v>0</x:v>
      </x:c>
      <x:c r="G20" s="70" t="str">
        <x:v>HIGH</x:v>
      </x:c>
      <x:c r="H20" s="70" t="n">
        <x:f>IF(G20="HIGH",1,IF(G20="MEDIUM",0.7,0.4))</x:f>
        <x:v>1</x:v>
      </x:c>
      <x:c r="I20" s="70" t="n">
        <x:f>IF(D20=0,0,D20*F20)</x:f>
        <x:v>0</x:v>
      </x:c>
      <x:c r="J20" s="70" t="n">
        <x:f>IF(OR(E20="PASS",E20="WARN",E20="FAIL"),D20,0)</x:f>
        <x:v>4</x:v>
      </x:c>
      <x:c r="K20" s="70" t="n">
        <x:f>J20*H20</x:f>
        <x:v>4</x:v>
      </x:c>
    </x:row>
    <x:row r="21">
      <x:c r="A21" s="70" t="str">
        <x:v>LE-05</x:v>
      </x:c>
      <x:c r="B21" s="70" t="str">
        <x:v>RULE_BASED</x:v>
      </x:c>
      <x:c r="C21" s="70" t="str">
        <x:v>02 Lifecycle Event</x:v>
      </x:c>
      <x:c r="D21" s="70" t="n">
        <x:v>4</x:v>
      </x:c>
      <x:c r="E21" s="70" t="str">
        <x:v>PASS</x:v>
      </x:c>
      <x:c r="F21" s="70" t="n">
        <x:f>IF(E21="PASS",1,IF(E21="WARN",0.5,IF(E21="FAIL",0,"")))</x:f>
        <x:v>1</x:v>
      </x:c>
      <x:c r="G21" s="70" t="str">
        <x:v>HIGH</x:v>
      </x:c>
      <x:c r="H21" s="70" t="n">
        <x:f>IF(G21="HIGH",1,IF(G21="MEDIUM",0.7,0.4))</x:f>
        <x:v>1</x:v>
      </x:c>
      <x:c r="I21" s="70" t="n">
        <x:f>IF(D21=0,0,D21*F21)</x:f>
        <x:v>4</x:v>
      </x:c>
      <x:c r="J21" s="70" t="n">
        <x:f>IF(OR(E21="PASS",E21="WARN",E21="FAIL"),D21,0)</x:f>
        <x:v>4</x:v>
      </x:c>
      <x:c r="K21" s="70" t="n">
        <x:f>J21*H21</x:f>
        <x:v>4</x:v>
      </x:c>
    </x:row>
    <x:row r="22">
      <x:c r="A22" s="70" t="str">
        <x:v>LE-09</x:v>
      </x:c>
      <x:c r="B22" s="70" t="str">
        <x:v>RULE_BASED</x:v>
      </x:c>
      <x:c r="C22" s="70" t="str">
        <x:v>02 Lifecycle Event</x:v>
      </x:c>
      <x:c r="D22" s="70" t="n">
        <x:v>4</x:v>
      </x:c>
      <x:c r="E22" s="70" t="str">
        <x:v>PASS</x:v>
      </x:c>
      <x:c r="F22" s="70" t="n">
        <x:f>IF(E22="PASS",1,IF(E22="WARN",0.5,IF(E22="FAIL",0,"")))</x:f>
        <x:v>1</x:v>
      </x:c>
      <x:c r="G22" s="70" t="str">
        <x:v>HIGH</x:v>
      </x:c>
      <x:c r="H22" s="70" t="n">
        <x:f>IF(G22="HIGH",1,IF(G22="MEDIUM",0.7,0.4))</x:f>
        <x:v>1</x:v>
      </x:c>
      <x:c r="I22" s="70" t="n">
        <x:f>IF(D22=0,0,D22*F22)</x:f>
        <x:v>4</x:v>
      </x:c>
      <x:c r="J22" s="70" t="n">
        <x:f>IF(OR(E22="PASS",E22="WARN",E22="FAIL"),D22,0)</x:f>
        <x:v>4</x:v>
      </x:c>
      <x:c r="K22" s="70" t="n">
        <x:f>J22*H22</x:f>
        <x:v>4</x:v>
      </x:c>
    </x:row>
    <x:row r="23">
      <x:c r="A23" s="70" t="str">
        <x:v>PT-01</x:v>
      </x:c>
      <x:c r="B23" s="70" t="str">
        <x:v>RULE_BASED</x:v>
      </x:c>
      <x:c r="C23" s="70" t="str">
        <x:v>03 Product &amp; Transaction</x:v>
      </x:c>
      <x:c r="D23" s="70" t="n">
        <x:v>4</x:v>
      </x:c>
      <x:c r="E23" s="70" t="str">
        <x:v>PASS</x:v>
      </x:c>
      <x:c r="F23" s="70" t="n">
        <x:f>IF(E23="PASS",1,IF(E23="WARN",0.5,IF(E23="FAIL",0,"")))</x:f>
        <x:v>1</x:v>
      </x:c>
      <x:c r="G23" s="70" t="str">
        <x:v>HIGH</x:v>
      </x:c>
      <x:c r="H23" s="70" t="n">
        <x:f>IF(G23="HIGH",1,IF(G23="MEDIUM",0.7,0.4))</x:f>
        <x:v>1</x:v>
      </x:c>
      <x:c r="I23" s="70" t="n">
        <x:f>IF(D23=0,0,D23*F23)</x:f>
        <x:v>4</x:v>
      </x:c>
      <x:c r="J23" s="70" t="n">
        <x:f>IF(OR(E23="PASS",E23="WARN",E23="FAIL"),D23,0)</x:f>
        <x:v>4</x:v>
      </x:c>
      <x:c r="K23" s="70" t="n">
        <x:f>J23*H23</x:f>
        <x:v>4</x:v>
      </x:c>
    </x:row>
    <x:row r="24">
      <x:c r="A24" s="70" t="str">
        <x:v>PT-03</x:v>
      </x:c>
      <x:c r="B24" s="70" t="str">
        <x:v>RULE_BASED</x:v>
      </x:c>
      <x:c r="C24" s="70" t="str">
        <x:v>03 Product &amp; Transaction</x:v>
      </x:c>
      <x:c r="D24" s="70" t="n">
        <x:v>4</x:v>
      </x:c>
      <x:c r="E24" s="70" t="str">
        <x:v>PASS</x:v>
      </x:c>
      <x:c r="F24" s="70" t="n">
        <x:f>IF(E24="PASS",1,IF(E24="WARN",0.5,IF(E24="FAIL",0,"")))</x:f>
        <x:v>1</x:v>
      </x:c>
      <x:c r="G24" s="70" t="str">
        <x:v>HIGH</x:v>
      </x:c>
      <x:c r="H24" s="70" t="n">
        <x:f>IF(G24="HIGH",1,IF(G24="MEDIUM",0.7,0.4))</x:f>
        <x:v>1</x:v>
      </x:c>
      <x:c r="I24" s="70" t="n">
        <x:f>IF(D24=0,0,D24*F24)</x:f>
        <x:v>4</x:v>
      </x:c>
      <x:c r="J24" s="70" t="n">
        <x:f>IF(OR(E24="PASS",E24="WARN",E24="FAIL"),D24,0)</x:f>
        <x:v>4</x:v>
      </x:c>
      <x:c r="K24" s="70" t="n">
        <x:f>J24*H24</x:f>
        <x:v>4</x:v>
      </x:c>
    </x:row>
    <x:row r="25">
      <x:c r="A25" s="70" t="str">
        <x:v>PT-04</x:v>
      </x:c>
      <x:c r="B25" s="70" t="str">
        <x:v>RULE_BASED</x:v>
      </x:c>
      <x:c r="C25" s="70" t="str">
        <x:v>03 Product &amp; Transaction</x:v>
      </x:c>
      <x:c r="D25" s="70" t="n">
        <x:v>4</x:v>
      </x:c>
      <x:c r="E25" s="70" t="str">
        <x:v>PASS</x:v>
      </x:c>
      <x:c r="F25" s="70" t="n">
        <x:f>IF(E25="PASS",1,IF(E25="WARN",0.5,IF(E25="FAIL",0,"")))</x:f>
        <x:v>1</x:v>
      </x:c>
      <x:c r="G25" s="70" t="str">
        <x:v>HIGH</x:v>
      </x:c>
      <x:c r="H25" s="70" t="n">
        <x:f>IF(G25="HIGH",1,IF(G25="MEDIUM",0.7,0.4))</x:f>
        <x:v>1</x:v>
      </x:c>
      <x:c r="I25" s="70" t="n">
        <x:f>IF(D25=0,0,D25*F25)</x:f>
        <x:v>4</x:v>
      </x:c>
      <x:c r="J25" s="70" t="n">
        <x:f>IF(OR(E25="PASS",E25="WARN",E25="FAIL"),D25,0)</x:f>
        <x:v>4</x:v>
      </x:c>
      <x:c r="K25" s="70" t="n">
        <x:f>J25*H25</x:f>
        <x:v>4</x:v>
      </x:c>
    </x:row>
    <x:row r="26">
      <x:c r="A26" s="70" t="str">
        <x:v>SP-03</x:v>
      </x:c>
      <x:c r="B26" s="70" t="str">
        <x:v>RULE_BASED</x:v>
      </x:c>
      <x:c r="C26" s="70" t="str">
        <x:v>04 Segment &amp; Property</x:v>
      </x:c>
      <x:c r="D26" s="70" t="n">
        <x:v>4</x:v>
      </x:c>
      <x:c r="E26" s="70" t="str">
        <x:v>WARN</x:v>
      </x:c>
      <x:c r="F26" s="70" t="n">
        <x:f>IF(E26="PASS",1,IF(E26="WARN",0.5,IF(E26="FAIL",0,"")))</x:f>
        <x:v>0.5</x:v>
      </x:c>
      <x:c r="G26" s="70" t="str">
        <x:v>HIGH</x:v>
      </x:c>
      <x:c r="H26" s="70" t="n">
        <x:f>IF(G26="HIGH",1,IF(G26="MEDIUM",0.7,0.4))</x:f>
        <x:v>1</x:v>
      </x:c>
      <x:c r="I26" s="70" t="n">
        <x:f>IF(D26=0,0,D26*F26)</x:f>
        <x:v>2</x:v>
      </x:c>
      <x:c r="J26" s="70" t="n">
        <x:f>IF(OR(E26="PASS",E26="WARN",E26="FAIL"),D26,0)</x:f>
        <x:v>4</x:v>
      </x:c>
      <x:c r="K26" s="70" t="n">
        <x:f>J26*H26</x:f>
        <x:v>4</x:v>
      </x:c>
    </x:row>
    <x:row r="27">
      <x:c r="A27" s="70" t="str">
        <x:v>SP-07</x:v>
      </x:c>
      <x:c r="B27" s="70" t="str">
        <x:v>RULE_BASED</x:v>
      </x:c>
      <x:c r="C27" s="70" t="str">
        <x:v>04 Segment &amp; Property</x:v>
      </x:c>
      <x:c r="D27" s="70" t="n">
        <x:v>5</x:v>
      </x:c>
      <x:c r="E27" s="70" t="str">
        <x:v>PASS</x:v>
      </x:c>
      <x:c r="F27" s="70" t="n">
        <x:f>IF(E27="PASS",1,IF(E27="WARN",0.5,IF(E27="FAIL",0,"")))</x:f>
        <x:v>1</x:v>
      </x:c>
      <x:c r="G27" s="70" t="str">
        <x:v>HIGH</x:v>
      </x:c>
      <x:c r="H27" s="70" t="n">
        <x:f>IF(G27="HIGH",1,IF(G27="MEDIUM",0.7,0.4))</x:f>
        <x:v>1</x:v>
      </x:c>
      <x:c r="I27" s="70" t="n">
        <x:f>IF(D27=0,0,D27*F27)</x:f>
        <x:v>5</x:v>
      </x:c>
      <x:c r="J27" s="70" t="n">
        <x:f>IF(OR(E27="PASS",E27="WARN",E27="FAIL"),D27,0)</x:f>
        <x:v>5</x:v>
      </x:c>
      <x:c r="K27" s="70" t="n">
        <x:f>J27*H27</x:f>
        <x:v>5</x:v>
      </x:c>
    </x:row>
    <x:row r="28">
      <x:c r="A28" s="70" t="str">
        <x:v>CC-01</x:v>
      </x:c>
      <x:c r="B28" s="70" t="str">
        <x:v>RULE_BASED</x:v>
      </x:c>
      <x:c r="C28" s="70" t="str">
        <x:v>05 Channel &amp; Consent</x:v>
      </x:c>
      <x:c r="D28" s="70" t="n">
        <x:v>4</x:v>
      </x:c>
      <x:c r="E28" s="70" t="str">
        <x:v>PASS</x:v>
      </x:c>
      <x:c r="F28" s="70" t="n">
        <x:f>IF(E28="PASS",1,IF(E28="WARN",0.5,IF(E28="FAIL",0,"")))</x:f>
        <x:v>1</x:v>
      </x:c>
      <x:c r="G28" s="70" t="str">
        <x:v>HIGH</x:v>
      </x:c>
      <x:c r="H28" s="70" t="n">
        <x:f>IF(G28="HIGH",1,IF(G28="MEDIUM",0.7,0.4))</x:f>
        <x:v>1</x:v>
      </x:c>
      <x:c r="I28" s="70" t="n">
        <x:f>IF(D28=0,0,D28*F28)</x:f>
        <x:v>4</x:v>
      </x:c>
      <x:c r="J28" s="70" t="n">
        <x:f>IF(OR(E28="PASS",E28="WARN",E28="FAIL"),D28,0)</x:f>
        <x:v>4</x:v>
      </x:c>
      <x:c r="K28" s="70" t="n">
        <x:f>J28*H28</x:f>
        <x:v>4</x:v>
      </x:c>
    </x:row>
    <x:row r="29">
      <x:c r="A29" s="70" t="str">
        <x:v>CC-02</x:v>
      </x:c>
      <x:c r="B29" s="70" t="str">
        <x:v>RULE_BASED</x:v>
      </x:c>
      <x:c r="C29" s="70" t="str">
        <x:v>05 Channel &amp; Consent</x:v>
      </x:c>
      <x:c r="D29" s="70" t="n">
        <x:v>4</x:v>
      </x:c>
      <x:c r="E29" s="70" t="str">
        <x:v>PASS</x:v>
      </x:c>
      <x:c r="F29" s="70" t="n">
        <x:f>IF(E29="PASS",1,IF(E29="WARN",0.5,IF(E29="FAIL",0,"")))</x:f>
        <x:v>1</x:v>
      </x:c>
      <x:c r="G29" s="70" t="str">
        <x:v>HIGH</x:v>
      </x:c>
      <x:c r="H29" s="70" t="n">
        <x:f>IF(G29="HIGH",1,IF(G29="MEDIUM",0.7,0.4))</x:f>
        <x:v>1</x:v>
      </x:c>
      <x:c r="I29" s="70" t="n">
        <x:f>IF(D29=0,0,D29*F29)</x:f>
        <x:v>4</x:v>
      </x:c>
      <x:c r="J29" s="70" t="n">
        <x:f>IF(OR(E29="PASS",E29="WARN",E29="FAIL"),D29,0)</x:f>
        <x:v>4</x:v>
      </x:c>
      <x:c r="K29" s="70" t="n">
        <x:f>J29*H29</x:f>
        <x:v>4</x:v>
      </x:c>
    </x:row>
    <x:row r="30">
      <x:c r="A30" s="70" t="str">
        <x:v>CC-03</x:v>
      </x:c>
      <x:c r="B30" s="70" t="str">
        <x:v>RULE_BASED</x:v>
      </x:c>
      <x:c r="C30" s="70" t="str">
        <x:v>05 Channel &amp; Consent</x:v>
      </x:c>
      <x:c r="D30" s="70" t="n">
        <x:v>4</x:v>
      </x:c>
      <x:c r="E30" s="70" t="str">
        <x:v>FAIL</x:v>
      </x:c>
      <x:c r="F30" s="70" t="n">
        <x:f>IF(E30="PASS",1,IF(E30="WARN",0.5,IF(E30="FAIL",0,"")))</x:f>
        <x:v>0</x:v>
      </x:c>
      <x:c r="G30" s="70" t="str">
        <x:v>HIGH</x:v>
      </x:c>
      <x:c r="H30" s="70" t="n">
        <x:f>IF(G30="HIGH",1,IF(G30="MEDIUM",0.7,0.4))</x:f>
        <x:v>1</x:v>
      </x:c>
      <x:c r="I30" s="70" t="n">
        <x:f>IF(D30=0,0,D30*F30)</x:f>
        <x:v>0</x:v>
      </x:c>
      <x:c r="J30" s="70" t="n">
        <x:f>IF(OR(E30="PASS",E30="WARN",E30="FAIL"),D30,0)</x:f>
        <x:v>4</x:v>
      </x:c>
      <x:c r="K30" s="70" t="n">
        <x:f>J30*H30</x:f>
        <x:v>4</x:v>
      </x:c>
    </x:row>
    <x:row r="31">
      <x:c r="A31" s="70" t="str">
        <x:v>CC-05</x:v>
      </x:c>
      <x:c r="B31" s="70" t="str">
        <x:v>RULE_BASED</x:v>
      </x:c>
      <x:c r="C31" s="70" t="str">
        <x:v>05 Channel &amp; Consent</x:v>
      </x:c>
      <x:c r="D31" s="70" t="n">
        <x:v>4</x:v>
      </x:c>
      <x:c r="E31" s="70" t="str">
        <x:v>PASS</x:v>
      </x:c>
      <x:c r="F31" s="70" t="n">
        <x:f>IF(E31="PASS",1,IF(E31="WARN",0.5,IF(E31="FAIL",0,"")))</x:f>
        <x:v>1</x:v>
      </x:c>
      <x:c r="G31" s="70" t="str">
        <x:v>HIGH</x:v>
      </x:c>
      <x:c r="H31" s="70" t="n">
        <x:f>IF(G31="HIGH",1,IF(G31="MEDIUM",0.7,0.4))</x:f>
        <x:v>1</x:v>
      </x:c>
      <x:c r="I31" s="70" t="n">
        <x:f>IF(D31=0,0,D31*F31)</x:f>
        <x:v>4</x:v>
      </x:c>
      <x:c r="J31" s="70" t="n">
        <x:f>IF(OR(E31="PASS",E31="WARN",E31="FAIL"),D31,0)</x:f>
        <x:v>4</x:v>
      </x:c>
      <x:c r="K31" s="70" t="n">
        <x:f>J31*H31</x:f>
        <x:v>4</x:v>
      </x:c>
    </x:row>
    <x:row r="32">
      <x:c r="A32" s="70" t="str">
        <x:v>ME-02</x:v>
      </x:c>
      <x:c r="B32" s="70" t="str">
        <x:v>RULE_BASED</x:v>
      </x:c>
      <x:c r="C32" s="70" t="str">
        <x:v>06 Measurement</x:v>
      </x:c>
      <x:c r="D32" s="70" t="n">
        <x:v>4</x:v>
      </x:c>
      <x:c r="E32" s="70" t="str">
        <x:v>PASS</x:v>
      </x:c>
      <x:c r="F32" s="70" t="n">
        <x:f>IF(E32="PASS",1,IF(E32="WARN",0.5,IF(E32="FAIL",0,"")))</x:f>
        <x:v>1</x:v>
      </x:c>
      <x:c r="G32" s="70" t="str">
        <x:v>HIGH</x:v>
      </x:c>
      <x:c r="H32" s="70" t="n">
        <x:f>IF(G32="HIGH",1,IF(G32="MEDIUM",0.7,0.4))</x:f>
        <x:v>1</x:v>
      </x:c>
      <x:c r="I32" s="70" t="n">
        <x:f>IF(D32=0,0,D32*F32)</x:f>
        <x:v>4</x:v>
      </x:c>
      <x:c r="J32" s="70" t="n">
        <x:f>IF(OR(E32="PASS",E32="WARN",E32="FAIL"),D32,0)</x:f>
        <x:v>4</x:v>
      </x:c>
      <x:c r="K32" s="70" t="n">
        <x:f>J32*H32</x:f>
        <x:v>4</x:v>
      </x:c>
    </x:row>
    <x:row r="33">
      <x:c r="A33" s="70" t="str">
        <x:v>BR-01</x:v>
      </x:c>
      <x:c r="B33" s="70" t="str">
        <x:v>RULE_BASED</x:v>
      </x:c>
      <x:c r="C33" s="70" t="str">
        <x:v>07 Business Reality</x:v>
      </x:c>
      <x:c r="D33" s="70" t="n">
        <x:v>4</x:v>
      </x:c>
      <x:c r="E33" s="70" t="str">
        <x:v>WARN</x:v>
      </x:c>
      <x:c r="F33" s="70" t="n">
        <x:f>IF(E33="PASS",1,IF(E33="WARN",0.5,IF(E33="FAIL",0,"")))</x:f>
        <x:v>0.5</x:v>
      </x:c>
      <x:c r="G33" s="70" t="str">
        <x:v>HIGH</x:v>
      </x:c>
      <x:c r="H33" s="70" t="n">
        <x:f>IF(G33="HIGH",1,IF(G33="MEDIUM",0.7,0.4))</x:f>
        <x:v>1</x:v>
      </x:c>
      <x:c r="I33" s="70" t="n">
        <x:f>IF(D33=0,0,D33*F33)</x:f>
        <x:v>2</x:v>
      </x:c>
      <x:c r="J33" s="70" t="n">
        <x:f>IF(OR(E33="PASS",E33="WARN",E33="FAIL"),D33,0)</x:f>
        <x:v>4</x:v>
      </x:c>
      <x:c r="K33" s="70" t="n">
        <x:f>J33*H33</x:f>
        <x:v>4</x:v>
      </x:c>
    </x:row>
    <x:row r="34">
      <x:c r="A34" s="70" t="str">
        <x:v>CI-13</x:v>
      </x:c>
      <x:c r="B34" s="70" t="str">
        <x:v>DRIFT</x:v>
      </x:c>
      <x:c r="C34" s="70" t="str">
        <x:v>01 Customer Identity</x:v>
      </x:c>
      <x:c r="D34" s="70" t="n">
        <x:v>2</x:v>
      </x:c>
      <x:c r="E34" s="70" t="str">
        <x:v>PASS</x:v>
      </x:c>
      <x:c r="F34" s="70" t="n">
        <x:f>IF(E34="PASS",1,IF(E34="WARN",0.5,IF(E34="FAIL",0,"")))</x:f>
        <x:v>1</x:v>
      </x:c>
      <x:c r="G34" s="70" t="str">
        <x:v>HIGH</x:v>
      </x:c>
      <x:c r="H34" s="70" t="n">
        <x:f>IF(G34="HIGH",1,IF(G34="MEDIUM",0.7,0.4))</x:f>
        <x:v>1</x:v>
      </x:c>
      <x:c r="I34" s="70" t="n">
        <x:f>IF(D34=0,0,D34*F34)</x:f>
        <x:v>2</x:v>
      </x:c>
      <x:c r="J34" s="70" t="n">
        <x:f>IF(OR(E34="PASS",E34="WARN",E34="FAIL"),D34,0)</x:f>
        <x:v>2</x:v>
      </x:c>
      <x:c r="K34" s="70" t="n">
        <x:f>J34*H34</x:f>
        <x:v>2</x:v>
      </x:c>
    </x:row>
    <x:row r="35">
      <x:c r="A35" s="70" t="str">
        <x:v>CI-14</x:v>
      </x:c>
      <x:c r="B35" s="70" t="str">
        <x:v>DRIFT</x:v>
      </x:c>
      <x:c r="C35" s="70" t="str">
        <x:v>01 Customer Identity</x:v>
      </x:c>
      <x:c r="D35" s="70" t="n">
        <x:v>2</x:v>
      </x:c>
      <x:c r="E35" s="70" t="str">
        <x:v>PASS</x:v>
      </x:c>
      <x:c r="F35" s="70" t="n">
        <x:f>IF(E35="PASS",1,IF(E35="WARN",0.5,IF(E35="FAIL",0,"")))</x:f>
        <x:v>1</x:v>
      </x:c>
      <x:c r="G35" s="70" t="str">
        <x:v>HIGH</x:v>
      </x:c>
      <x:c r="H35" s="70" t="n">
        <x:f>IF(G35="HIGH",1,IF(G35="MEDIUM",0.7,0.4))</x:f>
        <x:v>1</x:v>
      </x:c>
      <x:c r="I35" s="70" t="n">
        <x:f>IF(D35=0,0,D35*F35)</x:f>
        <x:v>2</x:v>
      </x:c>
      <x:c r="J35" s="70" t="n">
        <x:f>IF(OR(E35="PASS",E35="WARN",E35="FAIL"),D35,0)</x:f>
        <x:v>2</x:v>
      </x:c>
      <x:c r="K35" s="70" t="n">
        <x:f>J35*H35</x:f>
        <x:v>2</x:v>
      </x:c>
    </x:row>
    <x:row r="36">
      <x:c r="A36" s="70" t="str">
        <x:v>CI-15</x:v>
      </x:c>
      <x:c r="B36" s="70" t="str">
        <x:v>DRIFT</x:v>
      </x:c>
      <x:c r="C36" s="70" t="str">
        <x:v>01 Customer Identity</x:v>
      </x:c>
      <x:c r="D36" s="70" t="n">
        <x:v>2</x:v>
      </x:c>
      <x:c r="E36" s="70" t="str">
        <x:v>PASS</x:v>
      </x:c>
      <x:c r="F36" s="70" t="n">
        <x:f>IF(E36="PASS",1,IF(E36="WARN",0.5,IF(E36="FAIL",0,"")))</x:f>
        <x:v>1</x:v>
      </x:c>
      <x:c r="G36" s="70" t="str">
        <x:v>HIGH</x:v>
      </x:c>
      <x:c r="H36" s="70" t="n">
        <x:f>IF(G36="HIGH",1,IF(G36="MEDIUM",0.7,0.4))</x:f>
        <x:v>1</x:v>
      </x:c>
      <x:c r="I36" s="70" t="n">
        <x:f>IF(D36=0,0,D36*F36)</x:f>
        <x:v>2</x:v>
      </x:c>
      <x:c r="J36" s="70" t="n">
        <x:f>IF(OR(E36="PASS",E36="WARN",E36="FAIL"),D36,0)</x:f>
        <x:v>2</x:v>
      </x:c>
      <x:c r="K36" s="70" t="n">
        <x:f>J36*H36</x:f>
        <x:v>2</x:v>
      </x:c>
    </x:row>
    <x:row r="37">
      <x:c r="A37" s="70" t="str">
        <x:v>LE-08</x:v>
      </x:c>
      <x:c r="B37" s="70" t="str">
        <x:v>DRIFT</x:v>
      </x:c>
      <x:c r="C37" s="70" t="str">
        <x:v>02 Lifecycle Event</x:v>
      </x:c>
      <x:c r="D37" s="70" t="n">
        <x:v>2</x:v>
      </x:c>
      <x:c r="E37" s="70" t="str">
        <x:v>PASS</x:v>
      </x:c>
      <x:c r="F37" s="70" t="n">
        <x:f>IF(E37="PASS",1,IF(E37="WARN",0.5,IF(E37="FAIL",0,"")))</x:f>
        <x:v>1</x:v>
      </x:c>
      <x:c r="G37" s="70" t="str">
        <x:v>HIGH</x:v>
      </x:c>
      <x:c r="H37" s="70" t="n">
        <x:f>IF(G37="HIGH",1,IF(G37="MEDIUM",0.7,0.4))</x:f>
        <x:v>1</x:v>
      </x:c>
      <x:c r="I37" s="70" t="n">
        <x:f>IF(D37=0,0,D37*F37)</x:f>
        <x:v>2</x:v>
      </x:c>
      <x:c r="J37" s="70" t="n">
        <x:f>IF(OR(E37="PASS",E37="WARN",E37="FAIL"),D37,0)</x:f>
        <x:v>2</x:v>
      </x:c>
      <x:c r="K37" s="70" t="n">
        <x:f>J37*H37</x:f>
        <x:v>2</x:v>
      </x:c>
    </x:row>
    <x:row r="38">
      <x:c r="A38" s="70" t="str">
        <x:v>LE-11</x:v>
      </x:c>
      <x:c r="B38" s="70" t="str">
        <x:v>DRIFT</x:v>
      </x:c>
      <x:c r="C38" s="70" t="str">
        <x:v>02 Lifecycle Event</x:v>
      </x:c>
      <x:c r="D38" s="70" t="n">
        <x:v>4</x:v>
      </x:c>
      <x:c r="E38" s="70" t="str">
        <x:v>WARN</x:v>
      </x:c>
      <x:c r="F38" s="70" t="n">
        <x:f>IF(E38="PASS",1,IF(E38="WARN",0.5,IF(E38="FAIL",0,"")))</x:f>
        <x:v>0.5</x:v>
      </x:c>
      <x:c r="G38" s="70" t="str">
        <x:v>HIGH</x:v>
      </x:c>
      <x:c r="H38" s="70" t="n">
        <x:f>IF(G38="HIGH",1,IF(G38="MEDIUM",0.7,0.4))</x:f>
        <x:v>1</x:v>
      </x:c>
      <x:c r="I38" s="70" t="n">
        <x:f>IF(D38=0,0,D38*F38)</x:f>
        <x:v>2</x:v>
      </x:c>
      <x:c r="J38" s="70" t="n">
        <x:f>IF(OR(E38="PASS",E38="WARN",E38="FAIL"),D38,0)</x:f>
        <x:v>4</x:v>
      </x:c>
      <x:c r="K38" s="70" t="n">
        <x:f>J38*H38</x:f>
        <x:v>4</x:v>
      </x:c>
    </x:row>
    <x:row r="39">
      <x:c r="A39" s="70" t="str">
        <x:v>LE-13</x:v>
      </x:c>
      <x:c r="B39" s="70" t="str">
        <x:v>DRIFT</x:v>
      </x:c>
      <x:c r="C39" s="70" t="str">
        <x:v>02 Lifecycle Event</x:v>
      </x:c>
      <x:c r="D39" s="70" t="n">
        <x:v>2</x:v>
      </x:c>
      <x:c r="E39" s="70" t="str">
        <x:v>PASS</x:v>
      </x:c>
      <x:c r="F39" s="70" t="n">
        <x:f>IF(E39="PASS",1,IF(E39="WARN",0.5,IF(E39="FAIL",0,"")))</x:f>
        <x:v>1</x:v>
      </x:c>
      <x:c r="G39" s="70" t="str">
        <x:v>HIGH</x:v>
      </x:c>
      <x:c r="H39" s="70" t="n">
        <x:f>IF(G39="HIGH",1,IF(G39="MEDIUM",0.7,0.4))</x:f>
        <x:v>1</x:v>
      </x:c>
      <x:c r="I39" s="70" t="n">
        <x:f>IF(D39=0,0,D39*F39)</x:f>
        <x:v>2</x:v>
      </x:c>
      <x:c r="J39" s="70" t="n">
        <x:f>IF(OR(E39="PASS",E39="WARN",E39="FAIL"),D39,0)</x:f>
        <x:v>2</x:v>
      </x:c>
      <x:c r="K39" s="70" t="n">
        <x:f>J39*H39</x:f>
        <x:v>2</x:v>
      </x:c>
    </x:row>
    <x:row r="40">
      <x:c r="A40" s="70" t="str">
        <x:v>PT-14</x:v>
      </x:c>
      <x:c r="B40" s="70" t="str">
        <x:v>DRIFT</x:v>
      </x:c>
      <x:c r="C40" s="70" t="str">
        <x:v>03 Product &amp; Transaction</x:v>
      </x:c>
      <x:c r="D40" s="70" t="n">
        <x:v>2</x:v>
      </x:c>
      <x:c r="E40" s="70" t="str">
        <x:v>PASS</x:v>
      </x:c>
      <x:c r="F40" s="70" t="n">
        <x:f>IF(E40="PASS",1,IF(E40="WARN",0.5,IF(E40="FAIL",0,"")))</x:f>
        <x:v>1</x:v>
      </x:c>
      <x:c r="G40" s="70" t="str">
        <x:v>HIGH</x:v>
      </x:c>
      <x:c r="H40" s="70" t="n">
        <x:f>IF(G40="HIGH",1,IF(G40="MEDIUM",0.7,0.4))</x:f>
        <x:v>1</x:v>
      </x:c>
      <x:c r="I40" s="70" t="n">
        <x:f>IF(D40=0,0,D40*F40)</x:f>
        <x:v>2</x:v>
      </x:c>
      <x:c r="J40" s="70" t="n">
        <x:f>IF(OR(E40="PASS",E40="WARN",E40="FAIL"),D40,0)</x:f>
        <x:v>2</x:v>
      </x:c>
      <x:c r="K40" s="70" t="n">
        <x:f>J40*H40</x:f>
        <x:v>2</x:v>
      </x:c>
    </x:row>
    <x:row r="41">
      <x:c r="A41" s="70" t="str">
        <x:v>SP-08</x:v>
      </x:c>
      <x:c r="B41" s="70" t="str">
        <x:v>DRIFT</x:v>
      </x:c>
      <x:c r="C41" s="70" t="str">
        <x:v>04 Segment &amp; Property</x:v>
      </x:c>
      <x:c r="D41" s="70" t="n">
        <x:v>4</x:v>
      </x:c>
      <x:c r="E41" s="70" t="str">
        <x:v>PASS</x:v>
      </x:c>
      <x:c r="F41" s="70" t="n">
        <x:f>IF(E41="PASS",1,IF(E41="WARN",0.5,IF(E41="FAIL",0,"")))</x:f>
        <x:v>1</x:v>
      </x:c>
      <x:c r="G41" s="70" t="str">
        <x:v>HIGH</x:v>
      </x:c>
      <x:c r="H41" s="70" t="n">
        <x:f>IF(G41="HIGH",1,IF(G41="MEDIUM",0.7,0.4))</x:f>
        <x:v>1</x:v>
      </x:c>
      <x:c r="I41" s="70" t="n">
        <x:f>IF(D41=0,0,D41*F41)</x:f>
        <x:v>4</x:v>
      </x:c>
      <x:c r="J41" s="70" t="n">
        <x:f>IF(OR(E41="PASS",E41="WARN",E41="FAIL"),D41,0)</x:f>
        <x:v>4</x:v>
      </x:c>
      <x:c r="K41" s="70" t="n">
        <x:f>J41*H41</x:f>
        <x:v>4</x:v>
      </x:c>
    </x:row>
    <x:row r="42">
      <x:c r="A42" s="70" t="str">
        <x:v>SP-12</x:v>
      </x:c>
      <x:c r="B42" s="70" t="str">
        <x:v>DRIFT</x:v>
      </x:c>
      <x:c r="C42" s="70" t="str">
        <x:v>04 Segment &amp; Property</x:v>
      </x:c>
      <x:c r="D42" s="70" t="n">
        <x:v>2</x:v>
      </x:c>
      <x:c r="E42" s="70" t="str">
        <x:v>PASS</x:v>
      </x:c>
      <x:c r="F42" s="70" t="n">
        <x:f>IF(E42="PASS",1,IF(E42="WARN",0.5,IF(E42="FAIL",0,"")))</x:f>
        <x:v>1</x:v>
      </x:c>
      <x:c r="G42" s="70" t="str">
        <x:v>HIGH</x:v>
      </x:c>
      <x:c r="H42" s="70" t="n">
        <x:f>IF(G42="HIGH",1,IF(G42="MEDIUM",0.7,0.4))</x:f>
        <x:v>1</x:v>
      </x:c>
      <x:c r="I42" s="70" t="n">
        <x:f>IF(D42=0,0,D42*F42)</x:f>
        <x:v>2</x:v>
      </x:c>
      <x:c r="J42" s="70" t="n">
        <x:f>IF(OR(E42="PASS",E42="WARN",E42="FAIL"),D42,0)</x:f>
        <x:v>2</x:v>
      </x:c>
      <x:c r="K42" s="70" t="n">
        <x:f>J42*H42</x:f>
        <x:v>2</x:v>
      </x:c>
    </x:row>
    <x:row r="43">
      <x:c r="A43" s="70" t="str">
        <x:v>CC-12</x:v>
      </x:c>
      <x:c r="B43" s="70" t="str">
        <x:v>DRIFT</x:v>
      </x:c>
      <x:c r="C43" s="70" t="str">
        <x:v>05 Channel &amp; Consent</x:v>
      </x:c>
      <x:c r="D43" s="70" t="n">
        <x:v>1</x:v>
      </x:c>
      <x:c r="E43" s="70" t="str">
        <x:v>PASS</x:v>
      </x:c>
      <x:c r="F43" s="70" t="n">
        <x:f>IF(E43="PASS",1,IF(E43="WARN",0.5,IF(E43="FAIL",0,"")))</x:f>
        <x:v>1</x:v>
      </x:c>
      <x:c r="G43" s="70" t="str">
        <x:v>HIGH</x:v>
      </x:c>
      <x:c r="H43" s="70" t="n">
        <x:f>IF(G43="HIGH",1,IF(G43="MEDIUM",0.7,0.4))</x:f>
        <x:v>1</x:v>
      </x:c>
      <x:c r="I43" s="70" t="n">
        <x:f>IF(D43=0,0,D43*F43)</x:f>
        <x:v>1</x:v>
      </x:c>
      <x:c r="J43" s="70" t="n">
        <x:f>IF(OR(E43="PASS",E43="WARN",E43="FAIL"),D43,0)</x:f>
        <x:v>1</x:v>
      </x:c>
      <x:c r="K43" s="70" t="n">
        <x:f>J43*H43</x:f>
        <x:v>1</x:v>
      </x:c>
    </x:row>
    <x:row r="44">
      <x:c r="A44" s="70" t="str">
        <x:v>ME-08</x:v>
      </x:c>
      <x:c r="B44" s="70" t="str">
        <x:v>DRIFT</x:v>
      </x:c>
      <x:c r="C44" s="70" t="str">
        <x:v>06 Measurement</x:v>
      </x:c>
      <x:c r="D44" s="70" t="n">
        <x:v>2</x:v>
      </x:c>
      <x:c r="E44" s="70" t="str">
        <x:v>WARN</x:v>
      </x:c>
      <x:c r="F44" s="70" t="n">
        <x:f>IF(E44="PASS",1,IF(E44="WARN",0.5,IF(E44="FAIL",0,"")))</x:f>
        <x:v>0.5</x:v>
      </x:c>
      <x:c r="G44" s="70" t="str">
        <x:v>MEDIUM</x:v>
      </x:c>
      <x:c r="H44" s="70" t="n">
        <x:f>IF(G44="HIGH",1,IF(G44="MEDIUM",0.7,0.4))</x:f>
        <x:v>0.7</x:v>
      </x:c>
      <x:c r="I44" s="70" t="n">
        <x:f>IF(D44=0,0,D44*F44)</x:f>
        <x:v>1</x:v>
      </x:c>
      <x:c r="J44" s="70" t="n">
        <x:f>IF(OR(E44="PASS",E44="WARN",E44="FAIL"),D44,0)</x:f>
        <x:v>2</x:v>
      </x:c>
      <x:c r="K44" s="70" t="n">
        <x:f>J44*H44</x:f>
        <x:v>1.4</x:v>
      </x:c>
    </x:row>
    <x:row r="45">
      <x:c r="A45" s="70" t="str">
        <x:v>ME-09</x:v>
      </x:c>
      <x:c r="B45" s="70" t="str">
        <x:v>DRIFT</x:v>
      </x:c>
      <x:c r="C45" s="70" t="str">
        <x:v>06 Measurement</x:v>
      </x:c>
      <x:c r="D45" s="70" t="n">
        <x:v>2</x:v>
      </x:c>
      <x:c r="E45" s="70" t="str">
        <x:v>PASS</x:v>
      </x:c>
      <x:c r="F45" s="70" t="n">
        <x:f>IF(E45="PASS",1,IF(E45="WARN",0.5,IF(E45="FAIL",0,"")))</x:f>
        <x:v>1</x:v>
      </x:c>
      <x:c r="G45" s="70" t="str">
        <x:v>HIGH</x:v>
      </x:c>
      <x:c r="H45" s="70" t="n">
        <x:f>IF(G45="HIGH",1,IF(G45="MEDIUM",0.7,0.4))</x:f>
        <x:v>1</x:v>
      </x:c>
      <x:c r="I45" s="70" t="n">
        <x:f>IF(D45=0,0,D45*F45)</x:f>
        <x:v>2</x:v>
      </x:c>
      <x:c r="J45" s="70" t="n">
        <x:f>IF(OR(E45="PASS",E45="WARN",E45="FAIL"),D45,0)</x:f>
        <x:v>2</x:v>
      </x:c>
      <x:c r="K45" s="70" t="n">
        <x:f>J45*H45</x:f>
        <x:v>2</x:v>
      </x:c>
    </x:row>
    <x:row r="46">
      <x:c r="A46" s="70" t="str">
        <x:v>BR-02</x:v>
      </x:c>
      <x:c r="B46" s="70" t="str">
        <x:v>DRIFT</x:v>
      </x:c>
      <x:c r="C46" s="70" t="str">
        <x:v>07 Business Reality</x:v>
      </x:c>
      <x:c r="D46" s="70" t="n">
        <x:v>4</x:v>
      </x:c>
      <x:c r="E46" s="70" t="str">
        <x:v>PASS</x:v>
      </x:c>
      <x:c r="F46" s="70" t="n">
        <x:f>IF(E46="PASS",1,IF(E46="WARN",0.5,IF(E46="FAIL",0,"")))</x:f>
        <x:v>1</x:v>
      </x:c>
      <x:c r="G46" s="70" t="str">
        <x:v>HIGH</x:v>
      </x:c>
      <x:c r="H46" s="70" t="n">
        <x:f>IF(G46="HIGH",1,IF(G46="MEDIUM",0.7,0.4))</x:f>
        <x:v>1</x:v>
      </x:c>
      <x:c r="I46" s="70" t="n">
        <x:f>IF(D46=0,0,D46*F46)</x:f>
        <x:v>4</x:v>
      </x:c>
      <x:c r="J46" s="70" t="n">
        <x:f>IF(OR(E46="PASS",E46="WARN",E46="FAIL"),D46,0)</x:f>
        <x:v>4</x:v>
      </x:c>
      <x:c r="K46" s="70" t="n">
        <x:f>J46*H46</x:f>
        <x:v>4</x:v>
      </x:c>
    </x:row>
    <x:row r="47">
      <x:c r="A47" s="72" t="str">
        <x:v>BR-12</x:v>
      </x:c>
      <x:c r="B47" s="72" t="str">
        <x:v>DRIFT</x:v>
      </x:c>
      <x:c r="C47" s="72" t="str">
        <x:v>07 Business Reality</x:v>
      </x:c>
      <x:c r="D47" s="72" t="n">
        <x:v>2</x:v>
      </x:c>
      <x:c r="E47" s="72" t="str">
        <x:v>PASS</x:v>
      </x:c>
      <x:c r="F47" s="72" t="n">
        <x:f>IF(E47="PASS",1,IF(E47="WARN",0.5,IF(E47="FAIL",0,"")))</x:f>
        <x:v>1</x:v>
      </x:c>
      <x:c r="G47" s="72" t="str">
        <x:v>HIGH</x:v>
      </x:c>
      <x:c r="H47" s="72" t="n">
        <x:f>IF(G47="HIGH",1,IF(G47="MEDIUM",0.7,0.4))</x:f>
        <x:v>1</x:v>
      </x:c>
      <x:c r="I47" s="72" t="n">
        <x:f>IF(D47=0,0,D47*F47)</x:f>
        <x:v>2</x:v>
      </x:c>
      <x:c r="J47" s="72" t="n">
        <x:f>IF(OR(E47="PASS",E47="WARN",E47="FAIL"),D47,0)</x:f>
        <x:v>2</x:v>
      </x:c>
      <x:c r="K47" s="72" t="n">
        <x:f>J47*H47</x:f>
        <x:v>2</x:v>
      </x:c>
    </x:row>
  </x:sheetData>
  <x:mergeCells>
    <x:mergeCell ref="A1:S1"/>
    <x:mergeCell ref="A2:S2"/>
    <x:mergeCell ref="A3:S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72" hidden="0" customWidth="1"/>
    <x:col min="5" max="5" width="26" hidden="0" customWidth="1"/>
    <x:col min="6" max="6" width="14" hidden="0" customWidth="1"/>
    <x:col min="7" max="7" width="24" hidden="0" customWidth="1"/>
    <x:col min="8" max="8" width="56" hidden="0" customWidth="1"/>
    <x:col min="9" max="9" width="24" hidden="0" customWidth="1"/>
  </x:cols>
  <x:sheetData>
    <x:row r="1" ht="34" customHeight="1">
      <x:c r="A1" s="87" t="str">
        <x:v>Pilot Supplemental Preflight Gates</x:v>
      </x:c>
      <x:c r="B1" s="87"/>
      <x:c r="C1" s="87"/>
      <x:c r="D1" s="87"/>
      <x:c r="E1" s="87"/>
      <x:c r="F1" s="87"/>
      <x:c r="G1" s="87"/>
      <x:c r="H1" s="87"/>
      <x:c r="I1" s="87"/>
    </x:row>
    <x:row r="2" ht="30" customHeight="1">
      <x:c r="A2" s="90" t="str">
        <x:v>Twelve on-demand checks required by the exact 16 pilot blueprints; outside the 42-check headline score</x:v>
      </x:c>
      <x:c r="B2" s="90"/>
      <x:c r="C2" s="90"/>
      <x:c r="D2" s="90"/>
      <x:c r="E2" s="90"/>
      <x:c r="F2" s="90"/>
      <x:c r="G2" s="90"/>
      <x:c r="H2" s="90"/>
      <x:c r="I2" s="90"/>
    </x:row>
    <x:row r="3" ht="28" customHeight="1">
      <x:c r="A3" s="93" t="str">
        <x:v>Governance rule: a pilot cannot be planned, built or activated until all of its headline-scope and supplemental gating Check IDs have a current PASS result.</x:v>
      </x:c>
      <x:c r="B3" s="93"/>
      <x:c r="C3" s="93"/>
      <x:c r="D3" s="93"/>
      <x:c r="E3" s="93"/>
      <x:c r="F3" s="93"/>
      <x:c r="G3" s="93"/>
      <x:c r="H3" s="93"/>
      <x:c r="I3" s="93"/>
    </x:row>
    <x:row r="5" ht="30" customHeight="1">
      <x:c r="A5" s="101" t="str">
        <x:v>Check ID</x:v>
      </x:c>
      <x:c r="B5" s="102" t="str">
        <x:v>Dimension</x:v>
      </x:c>
      <x:c r="C5" s="102" t="str">
        <x:v>Check</x:v>
      </x:c>
      <x:c r="D5" s="102" t="str">
        <x:v>Detection Logic</x:v>
      </x:c>
      <x:c r="E5" s="102" t="str">
        <x:v>Systems</x:v>
      </x:c>
      <x:c r="F5" s="102" t="str">
        <x:v>Severity</x:v>
      </x:c>
      <x:c r="G5" s="102" t="str">
        <x:v>Required By</x:v>
      </x:c>
      <x:c r="H5" s="102" t="str">
        <x:v>Failure Behavior</x:v>
      </x:c>
      <x:c r="I5" s="103" t="str">
        <x:v>MVP1 Role</x:v>
      </x:c>
    </x:row>
    <x:row r="6">
      <x:c r="A6" s="111" t="str">
        <x:v>BR-03</x:v>
      </x:c>
      <x:c r="B6" s="111" t="str">
        <x:v>07 Business Reality</x:v>
      </x:c>
      <x:c r="C6" s="111" t="str">
        <x:v>Out-of-stock exposure in active surfaces</x:v>
      </x:c>
      <x:c r="D6" s="111" t="str">
        <x:v>Products with zero/negative available stock currently present in recommendation frames, product collections, or scheduled campaign content.</x:v>
      </x:c>
      <x:c r="E6" s="111" t="str">
        <x:v>Manago</x:v>
      </x:c>
      <x:c r="F6" s="111" t="str">
        <x:v>High</x:v>
      </x:c>
      <x:c r="G6" s="111" t="str">
        <x:v>UC-28</x:v>
      </x:c>
      <x:c r="H6" s="111" t="str">
        <x:v>PASS required; FAIL blocks dependent pilot only; excluded from headline DCS</x:v>
      </x:c>
      <x:c r="I6" s="111" t="str">
        <x:v>ON_DEMAND_PREFLIGHT</x:v>
      </x:c>
    </x:row>
    <x:row r="7">
      <x:c r="A7" s="114" t="str">
        <x:v>BR-09</x:v>
      </x:c>
      <x:c r="B7" s="114" t="str">
        <x:v>07 Business Reality</x:v>
      </x:c>
      <x:c r="C7" s="114" t="str">
        <x:v>Replenishment input completeness</x:v>
      </x:c>
      <x:c r="D7" s="114" t="str">
        <x:v>For replenishment-eligible categories: product usage-cycle data (pack size, expected consumption days) present as catalog/detail inputs; coverage of the replenishment-candidate assortment.</x:v>
      </x:c>
      <x:c r="E7" s="114" t="str">
        <x:v>ERP vs Manago</x:v>
      </x:c>
      <x:c r="F7" s="114" t="str">
        <x:v>Medium</x:v>
      </x:c>
      <x:c r="G7" s="114" t="str">
        <x:v>UC-08, UC-11</x:v>
      </x:c>
      <x:c r="H7" s="114" t="str">
        <x:v>PASS required; FAIL blocks dependent pilot only; excluded from headline DCS</x:v>
      </x:c>
      <x:c r="I7" s="114" t="str">
        <x:v>ON_DEMAND_PREFLIGHT</x:v>
      </x:c>
    </x:row>
    <x:row r="8">
      <x:c r="A8" s="112" t="str">
        <x:v>CC-06</x:v>
      </x:c>
      <x:c r="B8" s="112" t="str">
        <x:v>05 Channel &amp; Consent</x:v>
      </x:c>
      <x:c r="C8" s="112" t="str">
        <x:v>Double opt-in state integrity</x:v>
      </x:c>
      <x:c r="D8" s="112" t="str">
        <x:v>Share stuck in Not-confirmed beyond confirmation-window norms; confirmation email deliverability on the DOI flow; DOI policy consistency across signup sources.</x:v>
      </x:c>
      <x:c r="E8" s="112" t="str">
        <x:v>Manago</x:v>
      </x:c>
      <x:c r="F8" s="112" t="str">
        <x:v>Medium</x:v>
      </x:c>
      <x:c r="G8" s="112" t="str">
        <x:v>UC-02, UC-05</x:v>
      </x:c>
      <x:c r="H8" s="112" t="str">
        <x:v>PASS required; FAIL blocks dependent pilot only; excluded from headline DCS</x:v>
      </x:c>
      <x:c r="I8" s="112" t="str">
        <x:v>ON_DEMAND_PREFLIGHT</x:v>
      </x:c>
    </x:row>
    <x:row r="9">
      <x:c r="A9" s="114" t="str">
        <x:v>CI-08</x:v>
      </x:c>
      <x:c r="B9" s="114" t="str">
        <x:v>01 Customer Identity</x:v>
      </x:c>
      <x:c r="C9" s="114" t="str">
        <x:v>Email format validity</x:v>
      </x:c>
      <x:c r="D9" s="114" t="str">
        <x:v>Syntactic validation of contact emails (RFC-lite), disposable-domain flagging, obvious typo domains (gmial.com etc.).</x:v>
      </x:c>
      <x:c r="E9" s="114" t="str">
        <x:v>Manago</x:v>
      </x:c>
      <x:c r="F9" s="114" t="str">
        <x:v>Medium</x:v>
      </x:c>
      <x:c r="G9" s="114" t="str">
        <x:v>UC-02</x:v>
      </x:c>
      <x:c r="H9" s="114" t="str">
        <x:v>PASS required; FAIL blocks dependent pilot only; excluded from headline DCS</x:v>
      </x:c>
      <x:c r="I9" s="114" t="str">
        <x:v>ON_DEMAND_PREFLIGHT</x:v>
      </x:c>
    </x:row>
    <x:row r="10">
      <x:c r="A10" s="112" t="str">
        <x:v>LE-07</x:v>
      </x:c>
      <x:c r="B10" s="112" t="str">
        <x:v>02 Lifecycle Event</x:v>
      </x:c>
      <x:c r="C10" s="112" t="str">
        <x:v>Cart event coverage</x:v>
      </x:c>
      <x:c r="D10" s="112" t="str">
        <x:v>Shopify abandoned checkouts vs Manago CART events in window; measure capture rate and identity linkage (email present at abandonment).</x:v>
      </x:c>
      <x:c r="E10" s="112" t="str">
        <x:v>Shopify vs Manago</x:v>
      </x:c>
      <x:c r="F10" s="112" t="str">
        <x:v>High</x:v>
      </x:c>
      <x:c r="G10" s="112" t="str">
        <x:v>UC-21</x:v>
      </x:c>
      <x:c r="H10" s="112" t="str">
        <x:v>PASS required; FAIL blocks dependent pilot only; excluded from headline DCS</x:v>
      </x:c>
      <x:c r="I10" s="112" t="str">
        <x:v>ON_DEMAND_PREFLIGHT</x:v>
      </x:c>
    </x:row>
    <x:row r="11">
      <x:c r="A11" s="114" t="str">
        <x:v>LE-10</x:v>
      </x:c>
      <x:c r="B11" s="114" t="str">
        <x:v>02 Lifecycle Event</x:v>
      </x:c>
      <x:c r="C11" s="114" t="str">
        <x:v>Event type discipline</x:v>
      </x:c>
      <x:c r="D11" s="114" t="str">
        <x:v>Distribution of event types; detect misuse (e.g. PURCHASE used for reservations, OTHER as a dumping ground) and any type-changed events (which silently break automations).</x:v>
      </x:c>
      <x:c r="E11" s="114" t="str">
        <x:v>Manago</x:v>
      </x:c>
      <x:c r="F11" s="114" t="str">
        <x:v>Medium</x:v>
      </x:c>
      <x:c r="G11" s="114" t="str">
        <x:v>UC-09</x:v>
      </x:c>
      <x:c r="H11" s="114" t="str">
        <x:v>PASS required; FAIL blocks dependent pilot only; excluded from headline DCS</x:v>
      </x:c>
      <x:c r="I11" s="114" t="str">
        <x:v>ON_DEMAND_PREFLIGHT</x:v>
      </x:c>
    </x:row>
    <x:row r="12">
      <x:c r="A12" s="112" t="str">
        <x:v>PT-05</x:v>
      </x:c>
      <x:c r="B12" s="112" t="str">
        <x:v>03 Product &amp; Transaction</x:v>
      </x:c>
      <x:c r="C12" s="112" t="str">
        <x:v>Price parity catalog vs commerce</x:v>
      </x:c>
      <x:c r="D12" s="112" t="str">
        <x:v>Catalog price/discountPrice vs current Shopify price per product/variant; staleness distribution; discount flag correctness.</x:v>
      </x:c>
      <x:c r="E12" s="112" t="str">
        <x:v>Manago vs Shopify</x:v>
      </x:c>
      <x:c r="F12" s="112" t="str">
        <x:v>High</x:v>
      </x:c>
      <x:c r="G12" s="112" t="str">
        <x:v>UC-13</x:v>
      </x:c>
      <x:c r="H12" s="112" t="str">
        <x:v>PASS required; FAIL blocks dependent pilot only; excluded from headline DCS</x:v>
      </x:c>
      <x:c r="I12" s="112" t="str">
        <x:v>ON_DEMAND_PREFLIGHT</x:v>
      </x:c>
    </x:row>
    <x:row r="13">
      <x:c r="A13" s="114" t="str">
        <x:v>PT-06</x:v>
      </x:c>
      <x:c r="B13" s="114" t="str">
        <x:v>03 Product &amp; Transaction</x:v>
      </x:c>
      <x:c r="C13" s="114" t="str">
        <x:v>Stock quantity parity</x:v>
      </x:c>
      <x:c r="D13" s="114" t="str">
        <x:v>Catalog quantity vs Shopify inventory_levels vs ERP stock (three-way where ERP connected); flag negative, frozen, and stale quantities.</x:v>
      </x:c>
      <x:c r="E13" s="114" t="str">
        <x:v>Manago vs Shopify vs ERP</x:v>
      </x:c>
      <x:c r="F13" s="114" t="str">
        <x:v>High</x:v>
      </x:c>
      <x:c r="G13" s="114" t="str">
        <x:v>UC-12, UC-21</x:v>
      </x:c>
      <x:c r="H13" s="114" t="str">
        <x:v>PASS required; FAIL blocks dependent pilot only; excluded from headline DCS</x:v>
      </x:c>
      <x:c r="I13" s="114" t="str">
        <x:v>ON_DEMAND_PREFLIGHT</x:v>
      </x:c>
    </x:row>
    <x:row r="14">
      <x:c r="A14" s="112" t="str">
        <x:v>PT-11</x:v>
      </x:c>
      <x:c r="B14" s="112" t="str">
        <x:v>03 Product &amp; Transaction</x:v>
      </x:c>
      <x:c r="C14" s="112" t="str">
        <x:v>Product attribute completeness</x:v>
      </x:c>
      <x:c r="D14" s="112" t="str">
        <x:v>Coverage of category, brand, image URL and product URL on catalog entries; attribute parity with Shopify source values.</x:v>
      </x:c>
      <x:c r="E14" s="112" t="str">
        <x:v>Manago vs Shopify</x:v>
      </x:c>
      <x:c r="F14" s="112" t="str">
        <x:v>Medium</x:v>
      </x:c>
      <x:c r="G14" s="112" t="str">
        <x:v>UC-28</x:v>
      </x:c>
      <x:c r="H14" s="112" t="str">
        <x:v>PASS required; FAIL blocks dependent pilot only; excluded from headline DCS</x:v>
      </x:c>
      <x:c r="I14" s="112" t="str">
        <x:v>ON_DEMAND_PREFLIGHT</x:v>
      </x:c>
    </x:row>
    <x:row r="15">
      <x:c r="A15" s="114" t="str">
        <x:v>PT-13</x:v>
      </x:c>
      <x:c r="B15" s="114" t="str">
        <x:v>03 Product &amp; Transaction</x:v>
      </x:c>
      <x:c r="C15" s="114" t="str">
        <x:v>Coupon and discount consistency</x:v>
      </x:c>
      <x:c r="D15" s="114" t="str">
        <x:v>Coupons issued via Manago (addContactCoupon) vs discount codes existing/valid in Shopify; redemption events flowing back; expired codes still being sent.</x:v>
      </x:c>
      <x:c r="E15" s="114" t="str">
        <x:v>Manago vs Shopify</x:v>
      </x:c>
      <x:c r="F15" s="114" t="str">
        <x:v>High</x:v>
      </x:c>
      <x:c r="G15" s="114" t="str">
        <x:v>UC-04</x:v>
      </x:c>
      <x:c r="H15" s="114" t="str">
        <x:v>PASS required; FAIL blocks dependent pilot only; excluded from headline DCS</x:v>
      </x:c>
      <x:c r="I15" s="114" t="str">
        <x:v>ON_DEMAND_PREFLIGHT</x:v>
      </x:c>
    </x:row>
    <x:row r="16">
      <x:c r="A16" s="112" t="str">
        <x:v>SP-04</x:v>
      </x:c>
      <x:c r="B16" s="112" t="str">
        <x:v>04 Segment &amp; Property</x:v>
      </x:c>
      <x:c r="C16" s="112" t="str">
        <x:v>Date-prefixed detail validity</x:v>
      </x:c>
      <x:c r="D16" s="112" t="str">
        <x:v>All date.-prefixed details parse as valid dates; plausibility window; coverage for details that proximity-triggered automations depend on. IMPORTANT (verify vs Manago docs before build): Manago's proximity trigger is 'Date from dictionary detail approaching' — confirm whether the reorder date must be written as a standard date. detail or a dictionary detail for the trigger to read it. Klints must write klints_next_refill as the EXACT type the trigger consumes, or UC-11/14/38/39 never fire.</x:v>
      </x:c>
      <x:c r="E16" s="112" t="str">
        <x:v>Manago</x:v>
      </x:c>
      <x:c r="F16" s="112" t="str">
        <x:v>High</x:v>
      </x:c>
      <x:c r="G16" s="112" t="str">
        <x:v>UC-11</x:v>
      </x:c>
      <x:c r="H16" s="112" t="str">
        <x:v>PASS required; FAIL blocks dependent pilot only; excluded from headline DCS</x:v>
      </x:c>
      <x:c r="I16" s="112" t="str">
        <x:v>ON_DEMAND_PREFLIGHT</x:v>
      </x:c>
    </x:row>
    <x:row r="17">
      <x:c r="A17" s="115" t="str">
        <x:v>SP-10</x:v>
      </x:c>
      <x:c r="B17" s="115" t="str">
        <x:v>04 Segment &amp; Property</x:v>
      </x:c>
      <x:c r="C17" s="115" t="str">
        <x:v>RFM computability coverage</x:v>
      </x:c>
      <x:c r="D17" s="115" t="str">
        <x:v>Share of contacts with RFM segment assigned; unassigned share decomposed into no-purchase-history (legitimate) vs missing-events (LE-01/14 damage).</x:v>
      </x:c>
      <x:c r="E17" s="115" t="str">
        <x:v>Manago</x:v>
      </x:c>
      <x:c r="F17" s="115" t="str">
        <x:v>High</x:v>
      </x:c>
      <x:c r="G17" s="115" t="str">
        <x:v>UC-06B</x:v>
      </x:c>
      <x:c r="H17" s="115" t="str">
        <x:v>PASS required; FAIL blocks dependent pilot only; excluded from headline DCS</x:v>
      </x:c>
      <x:c r="I17" s="115" t="str">
        <x:v>ON_DEMAND_PREFLIGHT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